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ЦяКнига" defaultThemeVersion="124226"/>
  <mc:AlternateContent xmlns:mc="http://schemas.openxmlformats.org/markup-compatibility/2006">
    <mc:Choice Requires="x15">
      <x15ac:absPath xmlns:x15ac="http://schemas.microsoft.com/office/spreadsheetml/2010/11/ac" url="E:\3\"/>
    </mc:Choice>
  </mc:AlternateContent>
  <bookViews>
    <workbookView xWindow="-120" yWindow="-120" windowWidth="29040" windowHeight="15840"/>
  </bookViews>
  <sheets>
    <sheet name="І3" sheetId="7" r:id="rId1"/>
    <sheet name="Лист1" sheetId="8" r:id="rId2"/>
  </sheets>
  <definedNames>
    <definedName name="_xlnm._FilterDatabase" localSheetId="1" hidden="1">Лист1!$B$2:$D$32</definedName>
    <definedName name="_xlnm.Extract" localSheetId="1">Лист1!$G$29:$I$29</definedName>
    <definedName name="_xlnm.Print_Area" localSheetId="0">І3!$A$1:$AO$49</definedName>
    <definedName name="_xlnm.Print_Area" localSheetId="1">Лист1!$A$1:$K$37</definedName>
    <definedName name="_xlnm.Criteria" localSheetId="1">Лист1!$R$1:$T$2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4" i="8" l="1"/>
  <c r="D24" i="8"/>
  <c r="B27" i="8"/>
  <c r="D27" i="8"/>
  <c r="B7" i="8"/>
  <c r="D7" i="8"/>
  <c r="B28" i="8"/>
  <c r="D28" i="8"/>
  <c r="B8" i="8"/>
  <c r="D8" i="8"/>
  <c r="B29" i="8"/>
  <c r="D29" i="8"/>
  <c r="B19" i="8"/>
  <c r="D19" i="8"/>
  <c r="B16" i="8"/>
  <c r="D16" i="8"/>
  <c r="B25" i="8"/>
  <c r="D25" i="8"/>
  <c r="B31" i="8"/>
  <c r="D31" i="8"/>
  <c r="B32" i="8"/>
  <c r="D32" i="8"/>
  <c r="B5" i="8"/>
  <c r="D5" i="8"/>
  <c r="B26" i="8"/>
  <c r="D26" i="8"/>
  <c r="B30" i="8"/>
  <c r="D30" i="8"/>
  <c r="B23" i="8"/>
  <c r="D23" i="8"/>
  <c r="B11" i="8"/>
  <c r="D11" i="8"/>
  <c r="B4" i="8"/>
  <c r="D4" i="8"/>
  <c r="B9" i="8"/>
  <c r="D9" i="8"/>
  <c r="B6" i="8"/>
  <c r="D6" i="8"/>
  <c r="B17" i="8"/>
  <c r="D17" i="8"/>
  <c r="B14" i="8"/>
  <c r="D14" i="8"/>
  <c r="B20" i="8"/>
  <c r="D20" i="8"/>
  <c r="B22" i="8"/>
  <c r="D22" i="8"/>
  <c r="B12" i="8"/>
  <c r="D12" i="8"/>
  <c r="B21" i="8"/>
  <c r="D21" i="8"/>
  <c r="B3" i="8"/>
  <c r="D3" i="8"/>
  <c r="B15" i="8"/>
  <c r="D15" i="8"/>
  <c r="B13" i="8"/>
  <c r="D13" i="8"/>
  <c r="B10" i="8"/>
  <c r="D10" i="8"/>
  <c r="D18" i="8"/>
  <c r="B18" i="8"/>
  <c r="F45" i="7" l="1"/>
  <c r="H45" i="7"/>
  <c r="J45" i="7"/>
  <c r="L45" i="7"/>
  <c r="N45" i="7"/>
  <c r="P45" i="7"/>
  <c r="R45" i="7"/>
  <c r="T45" i="7"/>
  <c r="V45" i="7"/>
  <c r="X45" i="7"/>
  <c r="Z45" i="7"/>
  <c r="AB45" i="7"/>
  <c r="AD45" i="7"/>
  <c r="AF45" i="7"/>
  <c r="AH45" i="7"/>
  <c r="D45" i="7"/>
  <c r="AS10" i="7" l="1"/>
  <c r="AT10" i="7"/>
  <c r="AU10" i="7"/>
  <c r="AV10" i="7"/>
  <c r="AS11" i="7"/>
  <c r="AT11" i="7"/>
  <c r="AU11" i="7"/>
  <c r="AV11" i="7"/>
  <c r="AS12" i="7"/>
  <c r="AT12" i="7"/>
  <c r="AU12" i="7"/>
  <c r="AV12" i="7"/>
  <c r="AS13" i="7"/>
  <c r="AT13" i="7"/>
  <c r="AU13" i="7"/>
  <c r="AV13" i="7"/>
  <c r="AS14" i="7"/>
  <c r="AT14" i="7"/>
  <c r="AU14" i="7"/>
  <c r="AV14" i="7"/>
  <c r="AS15" i="7"/>
  <c r="AT15" i="7"/>
  <c r="AU15" i="7"/>
  <c r="AV15" i="7"/>
  <c r="AS16" i="7"/>
  <c r="AT16" i="7"/>
  <c r="AU16" i="7"/>
  <c r="AV16" i="7"/>
  <c r="AS17" i="7"/>
  <c r="AT17" i="7"/>
  <c r="AU17" i="7"/>
  <c r="AV17" i="7"/>
  <c r="AS18" i="7"/>
  <c r="AT18" i="7"/>
  <c r="AU18" i="7"/>
  <c r="AV18" i="7"/>
  <c r="AS19" i="7"/>
  <c r="AT19" i="7"/>
  <c r="AU19" i="7"/>
  <c r="AV19" i="7"/>
  <c r="AS20" i="7"/>
  <c r="AT20" i="7"/>
  <c r="AU20" i="7"/>
  <c r="AV20" i="7"/>
  <c r="AS21" i="7"/>
  <c r="AT21" i="7"/>
  <c r="AU21" i="7"/>
  <c r="AV21" i="7"/>
  <c r="AS22" i="7"/>
  <c r="AT22" i="7"/>
  <c r="AU22" i="7"/>
  <c r="AV22" i="7"/>
  <c r="AS23" i="7"/>
  <c r="AT23" i="7"/>
  <c r="AU23" i="7"/>
  <c r="AV23" i="7"/>
  <c r="AS24" i="7"/>
  <c r="AT24" i="7"/>
  <c r="AU24" i="7"/>
  <c r="AV24" i="7"/>
  <c r="AS25" i="7"/>
  <c r="AT25" i="7"/>
  <c r="AU25" i="7"/>
  <c r="AV25" i="7"/>
  <c r="AS26" i="7"/>
  <c r="AT26" i="7"/>
  <c r="AU26" i="7"/>
  <c r="AV26" i="7"/>
  <c r="AS27" i="7"/>
  <c r="AT27" i="7"/>
  <c r="AU27" i="7"/>
  <c r="AV27" i="7"/>
  <c r="AS28" i="7"/>
  <c r="AT28" i="7"/>
  <c r="AU28" i="7"/>
  <c r="AV28" i="7"/>
  <c r="AS29" i="7"/>
  <c r="AT29" i="7"/>
  <c r="AU29" i="7"/>
  <c r="AV29" i="7"/>
  <c r="AS30" i="7"/>
  <c r="AT30" i="7"/>
  <c r="AU30" i="7"/>
  <c r="AV30" i="7"/>
  <c r="AS31" i="7"/>
  <c r="AT31" i="7"/>
  <c r="AU31" i="7"/>
  <c r="AV31" i="7"/>
  <c r="AS32" i="7"/>
  <c r="AT32" i="7"/>
  <c r="AU32" i="7"/>
  <c r="AV32" i="7"/>
  <c r="AS33" i="7"/>
  <c r="AT33" i="7"/>
  <c r="AU33" i="7"/>
  <c r="AV33" i="7"/>
  <c r="AS34" i="7"/>
  <c r="AT34" i="7"/>
  <c r="AU34" i="7"/>
  <c r="AV34" i="7"/>
  <c r="AS35" i="7"/>
  <c r="AT35" i="7"/>
  <c r="AU35" i="7"/>
  <c r="AV35" i="7"/>
  <c r="AS36" i="7"/>
  <c r="AT36" i="7"/>
  <c r="AU36" i="7"/>
  <c r="AV36" i="7"/>
  <c r="AS37" i="7"/>
  <c r="AT37" i="7"/>
  <c r="AU37" i="7"/>
  <c r="AV37" i="7"/>
  <c r="AS38" i="7"/>
  <c r="AT38" i="7"/>
  <c r="AU38" i="7"/>
  <c r="AV38" i="7"/>
  <c r="AS39" i="7"/>
  <c r="AT39" i="7"/>
  <c r="AU39" i="7"/>
  <c r="AV39" i="7"/>
  <c r="AV9" i="7"/>
  <c r="AU9" i="7"/>
  <c r="AT9" i="7"/>
  <c r="AS9" i="7"/>
  <c r="AX39" i="7" l="1"/>
  <c r="AX33" i="7"/>
  <c r="AX25" i="7"/>
  <c r="AX29" i="7"/>
  <c r="AX23" i="7"/>
  <c r="AX13" i="7"/>
  <c r="AX17" i="7"/>
  <c r="AX37" i="7"/>
  <c r="AX35" i="7"/>
  <c r="AX31" i="7"/>
  <c r="AX27" i="7"/>
  <c r="AX38" i="7"/>
  <c r="AX36" i="7"/>
  <c r="AX34" i="7"/>
  <c r="AX32" i="7"/>
  <c r="AX30" i="7"/>
  <c r="AX28" i="7"/>
  <c r="AX26" i="7"/>
  <c r="AX24" i="7"/>
  <c r="AX21" i="7"/>
  <c r="AX20" i="7"/>
  <c r="AX19" i="7"/>
  <c r="AX16" i="7"/>
  <c r="AX15" i="7"/>
  <c r="AX12" i="7"/>
  <c r="AX11" i="7"/>
  <c r="AX22" i="7"/>
  <c r="AX18" i="7"/>
  <c r="AX14" i="7"/>
  <c r="AX10" i="7"/>
  <c r="AX9" i="7"/>
  <c r="K49" i="7" l="1"/>
  <c r="F49" i="7"/>
  <c r="R49" i="7"/>
  <c r="N49" i="7"/>
  <c r="D49" i="7"/>
  <c r="W49" i="7"/>
  <c r="I49" i="7"/>
  <c r="F43" i="7" l="1"/>
  <c r="H43" i="7"/>
  <c r="J43" i="7"/>
  <c r="L43" i="7"/>
  <c r="N43" i="7"/>
  <c r="P43" i="7"/>
  <c r="R43" i="7"/>
  <c r="T43" i="7"/>
  <c r="V43" i="7"/>
  <c r="X43" i="7"/>
  <c r="Z43" i="7"/>
  <c r="AB43" i="7"/>
  <c r="AD43" i="7"/>
  <c r="AF43" i="7"/>
  <c r="AH43" i="7"/>
  <c r="F42" i="7"/>
  <c r="H42" i="7"/>
  <c r="J42" i="7"/>
  <c r="L42" i="7"/>
  <c r="N42" i="7"/>
  <c r="P42" i="7"/>
  <c r="R42" i="7"/>
  <c r="T42" i="7"/>
  <c r="V42" i="7"/>
  <c r="X42" i="7"/>
  <c r="Z42" i="7"/>
  <c r="AB42" i="7"/>
  <c r="AD42" i="7"/>
  <c r="AF42" i="7"/>
  <c r="AH42" i="7"/>
  <c r="F41" i="7"/>
  <c r="H41" i="7"/>
  <c r="J41" i="7"/>
  <c r="L41" i="7"/>
  <c r="N41" i="7"/>
  <c r="P41" i="7"/>
  <c r="R41" i="7"/>
  <c r="T41" i="7"/>
  <c r="V41" i="7"/>
  <c r="X41" i="7"/>
  <c r="Z41" i="7"/>
  <c r="AB41" i="7"/>
  <c r="AD41" i="7"/>
  <c r="AF41" i="7"/>
  <c r="AH41" i="7"/>
  <c r="D43" i="7"/>
  <c r="D42" i="7"/>
  <c r="D41" i="7"/>
  <c r="F40" i="7"/>
  <c r="H40" i="7"/>
  <c r="J40" i="7"/>
  <c r="L40" i="7"/>
  <c r="N40" i="7"/>
  <c r="P40" i="7"/>
  <c r="R40" i="7"/>
  <c r="T40" i="7"/>
  <c r="V40" i="7"/>
  <c r="X40" i="7"/>
  <c r="Z40" i="7"/>
  <c r="AB40" i="7"/>
  <c r="AD40" i="7"/>
  <c r="AF40" i="7"/>
  <c r="AH40" i="7"/>
  <c r="D40" i="7"/>
  <c r="AJ10" i="7" l="1"/>
  <c r="C24" i="8" s="1"/>
  <c r="AJ11" i="7"/>
  <c r="C27" i="8" s="1"/>
  <c r="AJ12" i="7"/>
  <c r="C7" i="8" s="1"/>
  <c r="AJ13" i="7"/>
  <c r="C28" i="8" s="1"/>
  <c r="AJ14" i="7"/>
  <c r="C8" i="8" s="1"/>
  <c r="AJ15" i="7"/>
  <c r="C29" i="8" s="1"/>
  <c r="AJ16" i="7"/>
  <c r="C19" i="8" s="1"/>
  <c r="AJ17" i="7"/>
  <c r="C16" i="8" s="1"/>
  <c r="AJ18" i="7"/>
  <c r="C25" i="8" s="1"/>
  <c r="AJ19" i="7"/>
  <c r="C31" i="8" s="1"/>
  <c r="AJ20" i="7"/>
  <c r="C32" i="8" s="1"/>
  <c r="AJ21" i="7"/>
  <c r="C5" i="8" s="1"/>
  <c r="AJ22" i="7"/>
  <c r="C26" i="8" s="1"/>
  <c r="AJ23" i="7"/>
  <c r="C30" i="8" s="1"/>
  <c r="AJ24" i="7"/>
  <c r="C23" i="8" s="1"/>
  <c r="AJ25" i="7"/>
  <c r="C11" i="8" s="1"/>
  <c r="AJ26" i="7"/>
  <c r="C4" i="8" s="1"/>
  <c r="AJ27" i="7"/>
  <c r="C9" i="8" s="1"/>
  <c r="AJ28" i="7"/>
  <c r="C6" i="8" s="1"/>
  <c r="AJ29" i="7"/>
  <c r="C17" i="8" s="1"/>
  <c r="AJ30" i="7"/>
  <c r="C14" i="8" s="1"/>
  <c r="AJ31" i="7"/>
  <c r="C20" i="8" s="1"/>
  <c r="AJ32" i="7"/>
  <c r="C22" i="8" s="1"/>
  <c r="AJ33" i="7"/>
  <c r="C12" i="8" s="1"/>
  <c r="AJ34" i="7"/>
  <c r="C21" i="8" s="1"/>
  <c r="AJ35" i="7"/>
  <c r="C3" i="8" s="1"/>
  <c r="AJ36" i="7"/>
  <c r="C15" i="8" s="1"/>
  <c r="AJ37" i="7"/>
  <c r="C13" i="8" s="1"/>
  <c r="AJ38" i="7"/>
  <c r="C10" i="8" s="1"/>
  <c r="AJ9" i="7"/>
  <c r="C18" i="8" l="1"/>
  <c r="AJ39" i="7"/>
</calcChain>
</file>

<file path=xl/sharedStrings.xml><?xml version="1.0" encoding="utf-8"?>
<sst xmlns="http://schemas.openxmlformats.org/spreadsheetml/2006/main" count="203" uniqueCount="91">
  <si>
    <t>Пропуски</t>
  </si>
  <si>
    <t>н/а</t>
  </si>
  <si>
    <t>Середній бал</t>
  </si>
  <si>
    <t>СЕМЕСТРОВІ ОЦІНКИ</t>
  </si>
  <si>
    <t>Якість знань</t>
  </si>
  <si>
    <t>бал</t>
  </si>
  <si>
    <t>№пп</t>
  </si>
  <si>
    <t>форма навч.</t>
  </si>
  <si>
    <t>примітка</t>
  </si>
  <si>
    <t>Рейтинг групи</t>
  </si>
  <si>
    <t>Закінчили на:</t>
  </si>
  <si>
    <t>Кількість студентів</t>
  </si>
  <si>
    <t>Прізвище, ім'я</t>
  </si>
  <si>
    <t>Всього</t>
  </si>
  <si>
    <t>по хворобі</t>
  </si>
  <si>
    <t>інші поважні причини</t>
  </si>
  <si>
    <t>без поважних причин</t>
  </si>
  <si>
    <t>Математика</t>
  </si>
  <si>
    <t>Інформатика</t>
  </si>
  <si>
    <t>Фізична культура</t>
  </si>
  <si>
    <t>Середній 
бал</t>
  </si>
  <si>
    <t>ПІП студента</t>
  </si>
  <si>
    <t>Семестрові</t>
  </si>
  <si>
    <t>Українська
 мова</t>
  </si>
  <si>
    <t>на "відмінно"</t>
  </si>
  <si>
    <t>на "добре"</t>
  </si>
  <si>
    <t>на "задовільно"</t>
  </si>
  <si>
    <t>на "незадовільно"</t>
  </si>
  <si>
    <t>добре</t>
  </si>
  <si>
    <t>добре та задов</t>
  </si>
  <si>
    <t>задовільно</t>
  </si>
  <si>
    <t>незадовільно</t>
  </si>
  <si>
    <t xml:space="preserve">  відмінно</t>
  </si>
  <si>
    <t>добре та відмінно</t>
  </si>
  <si>
    <t>№ з/п</t>
  </si>
  <si>
    <t>Історія України</t>
  </si>
  <si>
    <t>Громадянська освіта (Людина і світ)</t>
  </si>
  <si>
    <t>Іноземна мова</t>
  </si>
  <si>
    <t>Біолого-екологічний модуль</t>
  </si>
  <si>
    <t>Українська
 література</t>
  </si>
  <si>
    <t>Зарубіжна
 література</t>
  </si>
  <si>
    <t>Всесвітня історія</t>
  </si>
  <si>
    <t>Хімічний модуль</t>
  </si>
  <si>
    <t>Фізико-астрономічний модуль</t>
  </si>
  <si>
    <t>Географічний
 модуль</t>
  </si>
  <si>
    <t>Захист України</t>
  </si>
  <si>
    <t>відм, добре, задов.</t>
  </si>
  <si>
    <t>% 
успішності</t>
  </si>
  <si>
    <t>Рейтинг студентів Д/З</t>
  </si>
  <si>
    <t>&gt;0</t>
  </si>
  <si>
    <t>к</t>
  </si>
  <si>
    <t>форма навч</t>
  </si>
  <si>
    <t>р</t>
  </si>
  <si>
    <t>відм</t>
  </si>
  <si>
    <t>задов</t>
  </si>
  <si>
    <t>незадов</t>
  </si>
  <si>
    <t>Андріїшин Анастасія Олександрівна</t>
  </si>
  <si>
    <t xml:space="preserve">Бойко Ангеліна Євгенівна </t>
  </si>
  <si>
    <t>Борин Марія Василівна</t>
  </si>
  <si>
    <t>Бурянна Вероніка Михайлівна</t>
  </si>
  <si>
    <t>Ганчак Іванна Михайлівна</t>
  </si>
  <si>
    <t>Гвоздянчук Аліна Ярославівна</t>
  </si>
  <si>
    <t>Голинська Марія Романівна</t>
  </si>
  <si>
    <t>Гоцанюк Тамара Іванівна</t>
  </si>
  <si>
    <t>Грибовська Злата Олексіївна</t>
  </si>
  <si>
    <t>Дасевич Анастасія Ігорівна</t>
  </si>
  <si>
    <t>Дичек Вероніка-Марія Зіновіївна</t>
  </si>
  <si>
    <t>Кавулич Кароліна Йосипівна</t>
  </si>
  <si>
    <t>Канюк Анна Ігорівна</t>
  </si>
  <si>
    <t>Козій Дарія Михайлівна</t>
  </si>
  <si>
    <t xml:space="preserve">Кузьмик Ромена Юріївна </t>
  </si>
  <si>
    <t xml:space="preserve">Макушина Вікторія Андріївна </t>
  </si>
  <si>
    <t>Микуляк Юлія Євгенівна</t>
  </si>
  <si>
    <t>Наконечна Ілона Ігорівна</t>
  </si>
  <si>
    <t>Павлишин Анна Богданівна</t>
  </si>
  <si>
    <t xml:space="preserve">Паркулаб Вікторія Богданівна </t>
  </si>
  <si>
    <t>Потельніцька Софія Володимирівна</t>
  </si>
  <si>
    <t>Семак Анна Андріївна</t>
  </si>
  <si>
    <t>Слостіна Юлія Олегівна</t>
  </si>
  <si>
    <t>Сосніч Вероніка Андріївна</t>
  </si>
  <si>
    <t>Суслик Христина Степанівна</t>
  </si>
  <si>
    <t>Федів Оксана Михайлівна</t>
  </si>
  <si>
    <t>Фрезюк Катерина Олегівна</t>
  </si>
  <si>
    <t>Черкас Марія Василівна</t>
  </si>
  <si>
    <t>Штих Соломія Юріївна</t>
  </si>
  <si>
    <t>Яців Діана Андріївна</t>
  </si>
  <si>
    <t>ЗВІТ ПРО УСПІШНІСТЬ І ВІДВІДУВАННЯ СТУДЕНТІВ за  весняний семестр 2022 - 2023 н. р.  І курс 3 група</t>
  </si>
  <si>
    <t>зв.</t>
  </si>
  <si>
    <t>зарах.</t>
  </si>
  <si>
    <t>40.0</t>
  </si>
  <si>
    <t>7.7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</si>
</sst>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_г_р_н_._-;\-* #,##0.00\ _г_р_н_._-;_-* &quot;-&quot;??\ _г_р_н_._-;_-@_-"/>
    <numFmt numFmtId="165" formatCode="0.0"/>
  </numFmts>
  <fonts count="20" x14ac:knownFonts="1">
    <font>
      <sz val="10"/>
      <name val="Arial"/>
      <charset val="204"/>
    </font>
    <font>
      <sz val="10"/>
      <name val="Arial Cyr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sz val="9"/>
      <name val="Arial Narrow"/>
      <family val="2"/>
      <charset val="204"/>
    </font>
    <font>
      <sz val="12"/>
      <name val="Arial Narrow"/>
      <family val="2"/>
      <charset val="204"/>
    </font>
    <font>
      <sz val="12"/>
      <name val="Arial Cyr"/>
      <charset val="204"/>
    </font>
    <font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sz val="8"/>
      <name val="Arial"/>
      <family val="2"/>
      <charset val="204"/>
    </font>
    <font>
      <sz val="9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  <charset val="204"/>
    </font>
    <font>
      <i/>
      <sz val="12"/>
      <color rgb="FF000000"/>
      <name val="Arial Narrow"/>
      <family val="2"/>
      <charset val="204"/>
    </font>
    <font>
      <sz val="10"/>
      <color rgb="FF000000"/>
      <name val="Arial"/>
      <family val="2"/>
      <charset val="204"/>
    </font>
    <font>
      <b/>
      <sz val="8"/>
      <name val="Arial"/>
      <family val="2"/>
      <charset val="204"/>
    </font>
    <font>
      <sz val="11"/>
      <name val="Arial Cyr"/>
      <charset val="204"/>
    </font>
    <font>
      <sz val="14"/>
      <color rgb="FF000000"/>
      <name val="Times New Roman"/>
      <family val="1"/>
      <charset val="204"/>
    </font>
    <font>
      <sz val="14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6"/>
        <bgColor indexed="2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2" fillId="2" borderId="0" applyNumberFormat="0" applyBorder="0" applyAlignment="0" applyProtection="0"/>
    <xf numFmtId="0" fontId="1" fillId="0" borderId="0"/>
    <xf numFmtId="0" fontId="9" fillId="0" borderId="0"/>
    <xf numFmtId="9" fontId="13" fillId="0" borderId="0" applyFont="0" applyFill="0" applyBorder="0" applyAlignment="0" applyProtection="0"/>
    <xf numFmtId="164" fontId="13" fillId="0" borderId="0" applyFont="0" applyFill="0" applyBorder="0" applyAlignment="0" applyProtection="0"/>
  </cellStyleXfs>
  <cellXfs count="219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0" xfId="0" applyFill="1"/>
    <xf numFmtId="0" fontId="0" fillId="0" borderId="6" xfId="0" applyBorder="1"/>
    <xf numFmtId="0" fontId="0" fillId="0" borderId="0" xfId="0" applyAlignment="1"/>
    <xf numFmtId="0" fontId="0" fillId="0" borderId="9" xfId="0" applyBorder="1"/>
    <xf numFmtId="0" fontId="0" fillId="0" borderId="10" xfId="0" applyNumberFormat="1" applyFill="1" applyBorder="1" applyAlignment="1">
      <alignment horizontal="center"/>
    </xf>
    <xf numFmtId="0" fontId="0" fillId="0" borderId="11" xfId="0" applyBorder="1" applyAlignment="1"/>
    <xf numFmtId="0" fontId="0" fillId="0" borderId="12" xfId="0" applyBorder="1" applyAlignment="1"/>
    <xf numFmtId="0" fontId="0" fillId="0" borderId="13" xfId="0" applyBorder="1" applyAlignment="1"/>
    <xf numFmtId="0" fontId="0" fillId="0" borderId="14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/>
    <xf numFmtId="0" fontId="14" fillId="0" borderId="2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Border="1" applyAlignment="1"/>
    <xf numFmtId="0" fontId="0" fillId="0" borderId="24" xfId="0" applyBorder="1" applyAlignment="1"/>
    <xf numFmtId="0" fontId="0" fillId="0" borderId="28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5" xfId="0" applyBorder="1"/>
    <xf numFmtId="0" fontId="8" fillId="0" borderId="32" xfId="0" applyFont="1" applyBorder="1"/>
    <xf numFmtId="0" fontId="0" fillId="0" borderId="32" xfId="0" applyBorder="1"/>
    <xf numFmtId="0" fontId="0" fillId="0" borderId="26" xfId="0" applyBorder="1"/>
    <xf numFmtId="0" fontId="0" fillId="0" borderId="51" xfId="0" applyBorder="1" applyAlignment="1">
      <alignment horizontal="center"/>
    </xf>
    <xf numFmtId="0" fontId="2" fillId="0" borderId="52" xfId="0" applyFon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/>
    <xf numFmtId="0" fontId="0" fillId="0" borderId="54" xfId="0" applyBorder="1"/>
    <xf numFmtId="2" fontId="0" fillId="0" borderId="55" xfId="0" applyNumberFormat="1" applyBorder="1"/>
    <xf numFmtId="0" fontId="0" fillId="0" borderId="56" xfId="0" applyBorder="1"/>
    <xf numFmtId="0" fontId="0" fillId="0" borderId="55" xfId="0" applyBorder="1"/>
    <xf numFmtId="0" fontId="0" fillId="0" borderId="24" xfId="0" applyBorder="1"/>
    <xf numFmtId="0" fontId="0" fillId="0" borderId="49" xfId="0" applyBorder="1" applyAlignment="1">
      <alignment horizontal="center" vertical="center"/>
    </xf>
    <xf numFmtId="0" fontId="9" fillId="0" borderId="32" xfId="0" applyFont="1" applyBorder="1"/>
    <xf numFmtId="0" fontId="0" fillId="0" borderId="39" xfId="0" applyBorder="1"/>
    <xf numFmtId="0" fontId="0" fillId="0" borderId="17" xfId="0" applyBorder="1"/>
    <xf numFmtId="0" fontId="2" fillId="0" borderId="51" xfId="0" applyFont="1" applyBorder="1" applyAlignment="1">
      <alignment horizontal="center"/>
    </xf>
    <xf numFmtId="0" fontId="17" fillId="0" borderId="0" xfId="0" applyFont="1"/>
    <xf numFmtId="0" fontId="9" fillId="0" borderId="51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18" fillId="0" borderId="17" xfId="0" applyFont="1" applyBorder="1" applyAlignment="1">
      <alignment vertical="center" wrapText="1"/>
    </xf>
    <xf numFmtId="0" fontId="18" fillId="0" borderId="21" xfId="0" applyFont="1" applyBorder="1" applyAlignment="1">
      <alignment vertical="center" wrapText="1"/>
    </xf>
    <xf numFmtId="0" fontId="19" fillId="0" borderId="21" xfId="0" applyFont="1" applyBorder="1" applyAlignment="1">
      <alignment vertical="center" wrapText="1"/>
    </xf>
    <xf numFmtId="0" fontId="9" fillId="0" borderId="53" xfId="0" quotePrefix="1" applyNumberFormat="1" applyFont="1" applyBorder="1" applyAlignment="1">
      <alignment horizontal="center"/>
    </xf>
    <xf numFmtId="0" fontId="0" fillId="0" borderId="28" xfId="0" applyBorder="1" applyAlignment="1">
      <alignment horizontal="center"/>
    </xf>
    <xf numFmtId="165" fontId="0" fillId="0" borderId="55" xfId="0" applyNumberFormat="1" applyBorder="1"/>
    <xf numFmtId="165" fontId="9" fillId="0" borderId="34" xfId="0" applyNumberFormat="1" applyFont="1" applyFill="1" applyBorder="1" applyAlignment="1">
      <alignment horizontal="center"/>
    </xf>
    <xf numFmtId="165" fontId="0" fillId="0" borderId="6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1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0" borderId="42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6" xfId="0" applyNumberForma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0" fontId="0" fillId="0" borderId="16" xfId="0" applyNumberFormat="1" applyFill="1" applyBorder="1" applyAlignment="1">
      <alignment horizont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10" xfId="0" applyBorder="1" applyAlignment="1">
      <alignment horizontal="center"/>
    </xf>
    <xf numFmtId="0" fontId="9" fillId="0" borderId="22" xfId="0" applyNumberFormat="1" applyFont="1" applyFill="1" applyBorder="1" applyAlignment="1">
      <alignment horizontal="center"/>
    </xf>
    <xf numFmtId="0" fontId="6" fillId="0" borderId="8" xfId="2" applyFont="1" applyFill="1" applyBorder="1"/>
    <xf numFmtId="0" fontId="6" fillId="0" borderId="18" xfId="2" applyFont="1" applyFill="1" applyBorder="1"/>
    <xf numFmtId="0" fontId="6" fillId="0" borderId="20" xfId="2" applyFont="1" applyFill="1" applyBorder="1"/>
    <xf numFmtId="0" fontId="0" fillId="0" borderId="15" xfId="0" applyNumberFormat="1" applyBorder="1" applyAlignment="1">
      <alignment horizontal="center"/>
    </xf>
    <xf numFmtId="0" fontId="0" fillId="0" borderId="16" xfId="0" applyNumberFormat="1" applyBorder="1" applyAlignment="1">
      <alignment horizontal="center"/>
    </xf>
    <xf numFmtId="0" fontId="6" fillId="0" borderId="8" xfId="2" applyFont="1" applyBorder="1"/>
    <xf numFmtId="0" fontId="6" fillId="0" borderId="18" xfId="2" applyFont="1" applyBorder="1"/>
    <xf numFmtId="0" fontId="6" fillId="0" borderId="20" xfId="2" applyFont="1" applyBorder="1"/>
    <xf numFmtId="0" fontId="0" fillId="0" borderId="25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15" xfId="0" applyNumberFormat="1" applyFill="1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5" xfId="0" applyFont="1" applyBorder="1" applyAlignment="1">
      <alignment horizontal="center" vertical="center"/>
    </xf>
    <xf numFmtId="0" fontId="7" fillId="0" borderId="50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2" fontId="6" fillId="0" borderId="47" xfId="2" applyNumberFormat="1" applyFont="1" applyBorder="1" applyAlignment="1">
      <alignment horizontal="center" vertical="center"/>
    </xf>
    <xf numFmtId="2" fontId="6" fillId="0" borderId="37" xfId="2" applyNumberFormat="1" applyFont="1" applyBorder="1" applyAlignment="1">
      <alignment horizontal="center" vertical="center"/>
    </xf>
    <xf numFmtId="0" fontId="0" fillId="0" borderId="27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28" xfId="0" applyBorder="1" applyAlignment="1">
      <alignment horizontal="center"/>
    </xf>
    <xf numFmtId="0" fontId="9" fillId="0" borderId="29" xfId="0" applyFont="1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0" xfId="0" applyFont="1" applyBorder="1"/>
    <xf numFmtId="0" fontId="2" fillId="0" borderId="31" xfId="0" applyFont="1" applyBorder="1"/>
    <xf numFmtId="0" fontId="0" fillId="0" borderId="33" xfId="0" applyNumberFormat="1" applyFill="1" applyBorder="1" applyAlignment="1">
      <alignment horizontal="center"/>
    </xf>
    <xf numFmtId="0" fontId="9" fillId="0" borderId="34" xfId="0" applyFont="1" applyFill="1" applyBorder="1" applyAlignment="1">
      <alignment horizontal="center" vertical="center" textRotation="90" wrapText="1"/>
    </xf>
    <xf numFmtId="0" fontId="0" fillId="0" borderId="6" xfId="0" applyFill="1" applyBorder="1" applyAlignment="1">
      <alignment horizontal="center" vertical="center" textRotation="90" wrapText="1"/>
    </xf>
    <xf numFmtId="0" fontId="0" fillId="0" borderId="7" xfId="0" applyFill="1" applyBorder="1" applyAlignment="1">
      <alignment horizontal="center" vertical="center" textRotation="90" wrapText="1"/>
    </xf>
    <xf numFmtId="0" fontId="0" fillId="0" borderId="19" xfId="0" applyFill="1" applyBorder="1" applyAlignment="1">
      <alignment horizontal="center" vertical="center" textRotation="90" wrapText="1"/>
    </xf>
    <xf numFmtId="0" fontId="0" fillId="0" borderId="5" xfId="0" applyFill="1" applyBorder="1" applyAlignment="1">
      <alignment horizontal="center" vertical="center" textRotation="90" wrapText="1"/>
    </xf>
    <xf numFmtId="0" fontId="0" fillId="0" borderId="35" xfId="0" applyFill="1" applyBorder="1" applyAlignment="1">
      <alignment horizontal="center" vertical="center" textRotation="90" wrapText="1"/>
    </xf>
    <xf numFmtId="0" fontId="9" fillId="0" borderId="6" xfId="0" applyFont="1" applyFill="1" applyBorder="1" applyAlignment="1">
      <alignment horizontal="center" vertical="center" textRotation="90" wrapText="1"/>
    </xf>
    <xf numFmtId="0" fontId="9" fillId="0" borderId="7" xfId="0" applyFont="1" applyFill="1" applyBorder="1" applyAlignment="1">
      <alignment horizontal="center" vertical="center" textRotation="90" wrapText="1"/>
    </xf>
    <xf numFmtId="0" fontId="9" fillId="0" borderId="19" xfId="0" applyFont="1" applyFill="1" applyBorder="1" applyAlignment="1">
      <alignment horizontal="center" vertical="center" textRotation="90" wrapText="1"/>
    </xf>
    <xf numFmtId="0" fontId="9" fillId="0" borderId="5" xfId="0" applyFont="1" applyFill="1" applyBorder="1" applyAlignment="1">
      <alignment horizontal="center" vertical="center" textRotation="90" wrapText="1"/>
    </xf>
    <xf numFmtId="0" fontId="9" fillId="0" borderId="35" xfId="0" applyFont="1" applyFill="1" applyBorder="1" applyAlignment="1">
      <alignment horizontal="center" vertical="center" textRotation="90" wrapText="1"/>
    </xf>
    <xf numFmtId="0" fontId="9" fillId="0" borderId="34" xfId="0" applyFont="1" applyFill="1" applyBorder="1" applyAlignment="1">
      <alignment horizontal="center" vertical="center" textRotation="90"/>
    </xf>
    <xf numFmtId="0" fontId="0" fillId="0" borderId="6" xfId="0" applyFill="1" applyBorder="1" applyAlignment="1">
      <alignment horizontal="center" vertical="center" textRotation="90"/>
    </xf>
    <xf numFmtId="0" fontId="0" fillId="0" borderId="7" xfId="0" applyFill="1" applyBorder="1" applyAlignment="1">
      <alignment horizontal="center" vertical="center" textRotation="90"/>
    </xf>
    <xf numFmtId="0" fontId="0" fillId="0" borderId="19" xfId="0" applyFill="1" applyBorder="1" applyAlignment="1">
      <alignment horizontal="center" vertical="center" textRotation="90"/>
    </xf>
    <xf numFmtId="0" fontId="0" fillId="0" borderId="5" xfId="0" applyFill="1" applyBorder="1" applyAlignment="1">
      <alignment horizontal="center" vertical="center" textRotation="90"/>
    </xf>
    <xf numFmtId="0" fontId="0" fillId="0" borderId="35" xfId="0" applyFill="1" applyBorder="1" applyAlignment="1">
      <alignment horizontal="center" vertical="center" textRotation="90"/>
    </xf>
    <xf numFmtId="0" fontId="11" fillId="0" borderId="34" xfId="0" applyFont="1" applyFill="1" applyBorder="1" applyAlignment="1">
      <alignment horizontal="center" vertical="center" textRotation="90" wrapText="1"/>
    </xf>
    <xf numFmtId="0" fontId="11" fillId="0" borderId="43" xfId="0" applyFont="1" applyFill="1" applyBorder="1" applyAlignment="1">
      <alignment horizontal="center" vertical="center" textRotation="90" wrapText="1"/>
    </xf>
    <xf numFmtId="0" fontId="11" fillId="0" borderId="7" xfId="0" applyFont="1" applyFill="1" applyBorder="1" applyAlignment="1">
      <alignment horizontal="center" vertical="center" textRotation="90" wrapText="1"/>
    </xf>
    <xf numFmtId="0" fontId="11" fillId="0" borderId="39" xfId="0" applyFont="1" applyFill="1" applyBorder="1" applyAlignment="1">
      <alignment horizontal="center" vertical="center" textRotation="90" wrapText="1"/>
    </xf>
    <xf numFmtId="0" fontId="11" fillId="0" borderId="5" xfId="0" applyFont="1" applyFill="1" applyBorder="1" applyAlignment="1">
      <alignment horizontal="center" vertical="center" textRotation="90" wrapText="1"/>
    </xf>
    <xf numFmtId="0" fontId="11" fillId="0" borderId="41" xfId="0" applyFont="1" applyFill="1" applyBorder="1" applyAlignment="1">
      <alignment horizontal="center" vertical="center" textRotation="90" wrapText="1"/>
    </xf>
    <xf numFmtId="0" fontId="0" fillId="0" borderId="34" xfId="0" applyFill="1" applyBorder="1" applyAlignment="1">
      <alignment horizontal="center" vertical="center" textRotation="90" wrapText="1"/>
    </xf>
    <xf numFmtId="0" fontId="0" fillId="0" borderId="26" xfId="0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0" fillId="0" borderId="11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 textRotation="90"/>
    </xf>
    <xf numFmtId="0" fontId="0" fillId="0" borderId="48" xfId="0" applyBorder="1" applyAlignment="1">
      <alignment horizontal="center" vertical="center" textRotation="90"/>
    </xf>
    <xf numFmtId="0" fontId="4" fillId="0" borderId="11" xfId="0" applyFont="1" applyBorder="1" applyAlignment="1">
      <alignment horizontal="center" vertical="center" textRotation="90"/>
    </xf>
    <xf numFmtId="0" fontId="4" fillId="0" borderId="12" xfId="0" applyFont="1" applyBorder="1" applyAlignment="1">
      <alignment horizontal="center" vertical="center" textRotation="90"/>
    </xf>
    <xf numFmtId="0" fontId="4" fillId="0" borderId="48" xfId="0" applyFont="1" applyBorder="1" applyAlignment="1">
      <alignment horizontal="center" vertical="center" textRotation="90"/>
    </xf>
    <xf numFmtId="0" fontId="3" fillId="0" borderId="14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0" fontId="16" fillId="0" borderId="49" xfId="0" applyFont="1" applyBorder="1" applyAlignment="1">
      <alignment horizontal="center" vertical="center" wrapText="1"/>
    </xf>
    <xf numFmtId="0" fontId="16" fillId="0" borderId="2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 textRotation="90"/>
    </xf>
    <xf numFmtId="0" fontId="5" fillId="0" borderId="6" xfId="0" applyFont="1" applyBorder="1" applyAlignment="1">
      <alignment horizontal="center" vertical="center" textRotation="90"/>
    </xf>
    <xf numFmtId="0" fontId="5" fillId="0" borderId="7" xfId="0" applyFont="1" applyBorder="1" applyAlignment="1">
      <alignment horizontal="center" vertical="center" textRotation="90"/>
    </xf>
    <xf numFmtId="0" fontId="5" fillId="0" borderId="19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35" xfId="0" applyFont="1" applyBorder="1" applyAlignment="1">
      <alignment horizontal="center" vertical="center" textRotation="90"/>
    </xf>
    <xf numFmtId="0" fontId="3" fillId="0" borderId="34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5" xfId="0" applyFont="1" applyBorder="1" applyAlignment="1">
      <alignment horizontal="center"/>
    </xf>
    <xf numFmtId="0" fontId="6" fillId="0" borderId="3" xfId="2" applyFont="1" applyBorder="1"/>
    <xf numFmtId="9" fontId="0" fillId="0" borderId="27" xfId="0" applyNumberFormat="1" applyBorder="1" applyAlignment="1">
      <alignment horizontal="center"/>
    </xf>
    <xf numFmtId="0" fontId="9" fillId="0" borderId="27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9" fillId="0" borderId="38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9" fillId="0" borderId="42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43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41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7" xfId="0" applyNumberFormat="1" applyFill="1" applyBorder="1" applyAlignment="1">
      <alignment horizontal="center" vertical="center"/>
    </xf>
    <xf numFmtId="0" fontId="0" fillId="0" borderId="44" xfId="0" applyNumberFormat="1" applyFill="1" applyBorder="1" applyAlignment="1">
      <alignment horizontal="center" vertical="center"/>
    </xf>
    <xf numFmtId="0" fontId="9" fillId="0" borderId="32" xfId="0" applyFont="1" applyBorder="1" applyAlignment="1">
      <alignment horizontal="center"/>
    </xf>
    <xf numFmtId="0" fontId="9" fillId="0" borderId="26" xfId="0" applyFont="1" applyBorder="1" applyAlignment="1">
      <alignment horizontal="center"/>
    </xf>
    <xf numFmtId="0" fontId="6" fillId="0" borderId="45" xfId="2" applyFont="1" applyBorder="1"/>
    <xf numFmtId="0" fontId="6" fillId="0" borderId="33" xfId="2" applyFont="1" applyBorder="1"/>
    <xf numFmtId="0" fontId="6" fillId="0" borderId="46" xfId="2" applyFont="1" applyBorder="1"/>
    <xf numFmtId="0" fontId="9" fillId="0" borderId="25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 textRotation="90"/>
    </xf>
    <xf numFmtId="0" fontId="9" fillId="0" borderId="7" xfId="0" applyFont="1" applyFill="1" applyBorder="1" applyAlignment="1">
      <alignment horizontal="center" vertical="center" textRotation="90"/>
    </xf>
    <xf numFmtId="0" fontId="9" fillId="0" borderId="19" xfId="0" applyFont="1" applyFill="1" applyBorder="1" applyAlignment="1">
      <alignment horizontal="center" vertical="center" textRotation="90"/>
    </xf>
    <xf numFmtId="0" fontId="9" fillId="0" borderId="5" xfId="0" applyFont="1" applyFill="1" applyBorder="1" applyAlignment="1">
      <alignment horizontal="center" vertical="center" textRotation="90"/>
    </xf>
    <xf numFmtId="0" fontId="9" fillId="0" borderId="35" xfId="0" applyFont="1" applyFill="1" applyBorder="1" applyAlignment="1">
      <alignment horizontal="center" vertical="center" textRotation="90"/>
    </xf>
    <xf numFmtId="0" fontId="2" fillId="0" borderId="30" xfId="0" applyFont="1" applyBorder="1" applyAlignment="1">
      <alignment horizontal="center"/>
    </xf>
    <xf numFmtId="49" fontId="9" fillId="0" borderId="27" xfId="0" applyNumberFormat="1" applyFont="1" applyBorder="1" applyAlignment="1">
      <alignment horizontal="center" vertical="center"/>
    </xf>
    <xf numFmtId="49" fontId="0" fillId="0" borderId="32" xfId="0" applyNumberFormat="1" applyBorder="1" applyAlignment="1">
      <alignment horizontal="center" vertical="center"/>
    </xf>
    <xf numFmtId="49" fontId="0" fillId="0" borderId="28" xfId="0" applyNumberFormat="1" applyBorder="1" applyAlignment="1">
      <alignment horizontal="center"/>
    </xf>
  </cellXfs>
  <cellStyles count="6">
    <cellStyle name="Excel_BuiltIn_40% - Акцент4" xfId="1"/>
    <cellStyle name="Звичайний" xfId="0" builtinId="0"/>
    <cellStyle name="Звичайний_Аркуш1" xfId="2"/>
    <cellStyle name="Обычный 2" xfId="3"/>
    <cellStyle name="Процентный 2" xfId="4"/>
    <cellStyle name="Финансовый 2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447675</xdr:colOff>
          <xdr:row>5</xdr:row>
          <xdr:rowOff>142875</xdr:rowOff>
        </xdr:from>
        <xdr:to>
          <xdr:col>13</xdr:col>
          <xdr:colOff>371475</xdr:colOff>
          <xdr:row>8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Рейтинг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9</xdr:row>
          <xdr:rowOff>123825</xdr:rowOff>
        </xdr:from>
        <xdr:to>
          <xdr:col>13</xdr:col>
          <xdr:colOff>381000</xdr:colOff>
          <xdr:row>12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Контракт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13</xdr:row>
          <xdr:rowOff>9525</xdr:rowOff>
        </xdr:from>
        <xdr:to>
          <xdr:col>13</xdr:col>
          <xdr:colOff>381000</xdr:colOff>
          <xdr:row>15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Державне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Офіс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BS53"/>
  <sheetViews>
    <sheetView tabSelected="1" view="pageBreakPreview" topLeftCell="A13" zoomScale="75" zoomScaleNormal="60" zoomScaleSheetLayoutView="75" workbookViewId="0">
      <selection activeCell="AM44" sqref="AM44"/>
    </sheetView>
  </sheetViews>
  <sheetFormatPr defaultRowHeight="12.75" x14ac:dyDescent="0.2"/>
  <cols>
    <col min="1" max="2" width="4.85546875" style="17" customWidth="1"/>
    <col min="3" max="3" width="36.85546875" customWidth="1"/>
    <col min="4" max="4" width="4.7109375" customWidth="1"/>
    <col min="5" max="5" width="4.28515625" customWidth="1"/>
    <col min="6" max="6" width="4.7109375" customWidth="1"/>
    <col min="7" max="7" width="4.28515625" customWidth="1"/>
    <col min="8" max="8" width="4.7109375" customWidth="1"/>
    <col min="9" max="9" width="4.85546875" customWidth="1"/>
    <col min="10" max="10" width="4.7109375" customWidth="1"/>
    <col min="11" max="11" width="4.140625" customWidth="1"/>
    <col min="12" max="12" width="4.7109375" customWidth="1"/>
    <col min="13" max="13" width="3.85546875" customWidth="1"/>
    <col min="14" max="14" width="4.7109375" style="5" customWidth="1"/>
    <col min="15" max="15" width="3.42578125" style="5" customWidth="1"/>
    <col min="16" max="16" width="4.7109375" style="5" customWidth="1"/>
    <col min="17" max="17" width="4.140625" style="5" customWidth="1"/>
    <col min="18" max="18" width="4.7109375" customWidth="1"/>
    <col min="19" max="19" width="4.42578125" customWidth="1"/>
    <col min="20" max="20" width="0.28515625" hidden="1" customWidth="1"/>
    <col min="21" max="21" width="0.140625" hidden="1" customWidth="1"/>
    <col min="22" max="22" width="4.7109375" customWidth="1"/>
    <col min="23" max="23" width="4.140625" customWidth="1"/>
    <col min="24" max="24" width="4.7109375" customWidth="1"/>
    <col min="25" max="25" width="3.85546875" customWidth="1"/>
    <col min="26" max="26" width="4.7109375" customWidth="1"/>
    <col min="27" max="27" width="3.7109375" customWidth="1"/>
    <col min="28" max="28" width="4.7109375" customWidth="1"/>
    <col min="29" max="29" width="3.140625" customWidth="1"/>
    <col min="30" max="30" width="4.7109375" style="5" customWidth="1"/>
    <col min="31" max="32" width="3.28515625" style="5" customWidth="1"/>
    <col min="33" max="34" width="4.7109375" style="5" customWidth="1"/>
    <col min="35" max="35" width="4" style="5" customWidth="1"/>
    <col min="36" max="36" width="3.85546875" style="5" customWidth="1"/>
    <col min="37" max="37" width="5.140625" style="5" customWidth="1"/>
    <col min="38" max="38" width="6.28515625" customWidth="1"/>
    <col min="39" max="39" width="6.7109375" customWidth="1"/>
    <col min="40" max="40" width="6.5703125" customWidth="1"/>
    <col min="41" max="41" width="7.140625" customWidth="1"/>
    <col min="42" max="44" width="0" hidden="1" customWidth="1"/>
  </cols>
  <sheetData>
    <row r="1" spans="1:71" ht="3" customHeight="1" x14ac:dyDescent="0.2">
      <c r="A1" s="151" t="s">
        <v>86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</row>
    <row r="2" spans="1:71" s="23" customFormat="1" ht="22.5" customHeight="1" thickBot="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</row>
    <row r="3" spans="1:71" ht="7.5" customHeight="1" x14ac:dyDescent="0.2">
      <c r="A3" s="158" t="s">
        <v>34</v>
      </c>
      <c r="B3" s="161" t="s">
        <v>51</v>
      </c>
      <c r="C3" s="158" t="s">
        <v>21</v>
      </c>
      <c r="D3" s="176" t="s">
        <v>22</v>
      </c>
      <c r="E3" s="177"/>
      <c r="F3" s="177"/>
      <c r="G3" s="177"/>
      <c r="H3" s="177"/>
      <c r="I3" s="177"/>
      <c r="J3" s="177"/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77"/>
      <c r="AF3" s="177"/>
      <c r="AG3" s="177"/>
      <c r="AH3" s="177"/>
      <c r="AI3" s="178"/>
      <c r="AJ3" s="170" t="s">
        <v>2</v>
      </c>
      <c r="AK3" s="171"/>
      <c r="AL3" s="164" t="s">
        <v>0</v>
      </c>
      <c r="AM3" s="165"/>
      <c r="AN3" s="165"/>
      <c r="AO3" s="166"/>
    </row>
    <row r="4" spans="1:71" ht="6" customHeight="1" thickBot="1" x14ac:dyDescent="0.25">
      <c r="A4" s="159"/>
      <c r="B4" s="162"/>
      <c r="C4" s="159"/>
      <c r="D4" s="179"/>
      <c r="E4" s="180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81"/>
      <c r="AJ4" s="172"/>
      <c r="AK4" s="173"/>
      <c r="AL4" s="167"/>
      <c r="AM4" s="168"/>
      <c r="AN4" s="168"/>
      <c r="AO4" s="169"/>
    </row>
    <row r="5" spans="1:71" ht="21" customHeight="1" x14ac:dyDescent="0.2">
      <c r="A5" s="159"/>
      <c r="B5" s="162"/>
      <c r="C5" s="159"/>
      <c r="D5" s="126" t="s">
        <v>23</v>
      </c>
      <c r="E5" s="138"/>
      <c r="F5" s="149" t="s">
        <v>17</v>
      </c>
      <c r="G5" s="138"/>
      <c r="H5" s="126" t="s">
        <v>18</v>
      </c>
      <c r="I5" s="132"/>
      <c r="J5" s="126" t="s">
        <v>35</v>
      </c>
      <c r="K5" s="132"/>
      <c r="L5" s="126" t="s">
        <v>36</v>
      </c>
      <c r="M5" s="127"/>
      <c r="N5" s="126" t="s">
        <v>37</v>
      </c>
      <c r="O5" s="210"/>
      <c r="P5" s="126" t="s">
        <v>19</v>
      </c>
      <c r="Q5" s="138"/>
      <c r="R5" s="126" t="s">
        <v>38</v>
      </c>
      <c r="S5" s="138"/>
      <c r="T5" s="143"/>
      <c r="U5" s="144"/>
      <c r="V5" s="126" t="s">
        <v>39</v>
      </c>
      <c r="W5" s="127"/>
      <c r="X5" s="126" t="s">
        <v>40</v>
      </c>
      <c r="Y5" s="138"/>
      <c r="Z5" s="137" t="s">
        <v>41</v>
      </c>
      <c r="AA5" s="138"/>
      <c r="AB5" s="126" t="s">
        <v>45</v>
      </c>
      <c r="AC5" s="138"/>
      <c r="AD5" s="133" t="s">
        <v>42</v>
      </c>
      <c r="AE5" s="129"/>
      <c r="AF5" s="133" t="s">
        <v>43</v>
      </c>
      <c r="AG5" s="129"/>
      <c r="AH5" s="133" t="s">
        <v>44</v>
      </c>
      <c r="AI5" s="129"/>
      <c r="AJ5" s="172"/>
      <c r="AK5" s="173"/>
      <c r="AL5" s="152" t="s">
        <v>13</v>
      </c>
      <c r="AM5" s="155" t="s">
        <v>14</v>
      </c>
      <c r="AN5" s="155" t="s">
        <v>15</v>
      </c>
      <c r="AO5" s="155" t="s">
        <v>16</v>
      </c>
      <c r="AQ5" s="209"/>
      <c r="AR5" s="209"/>
      <c r="AS5" s="209"/>
      <c r="AT5" s="209"/>
      <c r="AU5" s="209"/>
      <c r="AV5" s="209"/>
      <c r="AW5" s="209"/>
      <c r="AX5" s="209"/>
      <c r="AY5" s="209"/>
      <c r="AZ5" s="209"/>
      <c r="BA5" s="209"/>
      <c r="BB5" s="209"/>
      <c r="BC5" s="209"/>
      <c r="BD5" s="209"/>
      <c r="BE5" s="209"/>
      <c r="BF5" s="209"/>
      <c r="BG5" s="209"/>
      <c r="BH5" s="209"/>
      <c r="BI5" s="209"/>
      <c r="BJ5" s="209"/>
      <c r="BK5" s="209"/>
      <c r="BL5" s="209"/>
      <c r="BM5" s="209"/>
      <c r="BN5" s="209"/>
      <c r="BO5" s="209"/>
      <c r="BP5" s="209"/>
      <c r="BQ5" s="209"/>
      <c r="BR5" s="209"/>
      <c r="BS5" s="2"/>
    </row>
    <row r="6" spans="1:71" ht="15" customHeight="1" thickBot="1" x14ac:dyDescent="0.25">
      <c r="A6" s="159"/>
      <c r="B6" s="162"/>
      <c r="C6" s="159"/>
      <c r="D6" s="139"/>
      <c r="E6" s="140"/>
      <c r="F6" s="139"/>
      <c r="G6" s="140"/>
      <c r="H6" s="133"/>
      <c r="I6" s="134"/>
      <c r="J6" s="133"/>
      <c r="K6" s="134"/>
      <c r="L6" s="128"/>
      <c r="M6" s="129"/>
      <c r="N6" s="211"/>
      <c r="O6" s="212"/>
      <c r="P6" s="139"/>
      <c r="Q6" s="140"/>
      <c r="R6" s="139"/>
      <c r="S6" s="140"/>
      <c r="T6" s="145"/>
      <c r="U6" s="146"/>
      <c r="V6" s="128"/>
      <c r="W6" s="129"/>
      <c r="X6" s="139"/>
      <c r="Y6" s="140"/>
      <c r="Z6" s="139"/>
      <c r="AA6" s="140"/>
      <c r="AB6" s="139"/>
      <c r="AC6" s="140"/>
      <c r="AD6" s="128"/>
      <c r="AE6" s="129"/>
      <c r="AF6" s="128"/>
      <c r="AG6" s="129"/>
      <c r="AH6" s="128"/>
      <c r="AI6" s="129"/>
      <c r="AJ6" s="172"/>
      <c r="AK6" s="173"/>
      <c r="AL6" s="153"/>
      <c r="AM6" s="156"/>
      <c r="AN6" s="156"/>
      <c r="AO6" s="156"/>
    </row>
    <row r="7" spans="1:71" ht="15" customHeight="1" thickBot="1" x14ac:dyDescent="0.25">
      <c r="A7" s="159"/>
      <c r="B7" s="162"/>
      <c r="C7" s="159"/>
      <c r="D7" s="139"/>
      <c r="E7" s="140"/>
      <c r="F7" s="139"/>
      <c r="G7" s="140"/>
      <c r="H7" s="133"/>
      <c r="I7" s="134"/>
      <c r="J7" s="133"/>
      <c r="K7" s="134"/>
      <c r="L7" s="128"/>
      <c r="M7" s="129"/>
      <c r="N7" s="211"/>
      <c r="O7" s="212"/>
      <c r="P7" s="139"/>
      <c r="Q7" s="140"/>
      <c r="R7" s="139"/>
      <c r="S7" s="140"/>
      <c r="T7" s="145"/>
      <c r="U7" s="146"/>
      <c r="V7" s="128"/>
      <c r="W7" s="129"/>
      <c r="X7" s="139"/>
      <c r="Y7" s="140"/>
      <c r="Z7" s="139"/>
      <c r="AA7" s="140"/>
      <c r="AB7" s="139"/>
      <c r="AC7" s="140"/>
      <c r="AD7" s="128"/>
      <c r="AE7" s="129"/>
      <c r="AF7" s="128"/>
      <c r="AG7" s="129"/>
      <c r="AH7" s="128"/>
      <c r="AI7" s="129"/>
      <c r="AJ7" s="172"/>
      <c r="AK7" s="173"/>
      <c r="AL7" s="153"/>
      <c r="AM7" s="156"/>
      <c r="AN7" s="156"/>
      <c r="AO7" s="156"/>
      <c r="AS7" s="35"/>
      <c r="AT7" s="35"/>
      <c r="AU7" s="48"/>
      <c r="AW7" s="35"/>
      <c r="AX7" s="35"/>
      <c r="AY7" s="48"/>
    </row>
    <row r="8" spans="1:71" ht="57" customHeight="1" thickBot="1" x14ac:dyDescent="0.25">
      <c r="A8" s="160"/>
      <c r="B8" s="163"/>
      <c r="C8" s="159"/>
      <c r="D8" s="141"/>
      <c r="E8" s="142"/>
      <c r="F8" s="141"/>
      <c r="G8" s="142"/>
      <c r="H8" s="135"/>
      <c r="I8" s="136"/>
      <c r="J8" s="135"/>
      <c r="K8" s="136"/>
      <c r="L8" s="130"/>
      <c r="M8" s="131"/>
      <c r="N8" s="213"/>
      <c r="O8" s="214"/>
      <c r="P8" s="141"/>
      <c r="Q8" s="142"/>
      <c r="R8" s="141"/>
      <c r="S8" s="142"/>
      <c r="T8" s="147"/>
      <c r="U8" s="148"/>
      <c r="V8" s="130"/>
      <c r="W8" s="131"/>
      <c r="X8" s="141"/>
      <c r="Y8" s="142"/>
      <c r="Z8" s="141"/>
      <c r="AA8" s="142"/>
      <c r="AB8" s="141"/>
      <c r="AC8" s="142"/>
      <c r="AD8" s="130"/>
      <c r="AE8" s="131"/>
      <c r="AF8" s="130"/>
      <c r="AG8" s="131"/>
      <c r="AH8" s="130"/>
      <c r="AI8" s="131"/>
      <c r="AJ8" s="174"/>
      <c r="AK8" s="175"/>
      <c r="AL8" s="154"/>
      <c r="AM8" s="157"/>
      <c r="AN8" s="157"/>
      <c r="AO8" s="157"/>
      <c r="AS8" s="49" t="s">
        <v>53</v>
      </c>
      <c r="AT8" s="49" t="s">
        <v>28</v>
      </c>
      <c r="AU8" s="49" t="s">
        <v>54</v>
      </c>
      <c r="AV8" s="49" t="s">
        <v>55</v>
      </c>
      <c r="AW8" s="49"/>
      <c r="AX8" s="49"/>
    </row>
    <row r="9" spans="1:71" s="7" customFormat="1" ht="15.75" customHeight="1" thickBot="1" x14ac:dyDescent="0.25">
      <c r="A9" s="18">
        <v>1</v>
      </c>
      <c r="B9" s="51" t="s">
        <v>52</v>
      </c>
      <c r="C9" s="54" t="s">
        <v>56</v>
      </c>
      <c r="D9" s="92">
        <v>7</v>
      </c>
      <c r="E9" s="93"/>
      <c r="F9" s="64">
        <v>6</v>
      </c>
      <c r="G9" s="150"/>
      <c r="H9" s="62">
        <v>9</v>
      </c>
      <c r="I9" s="63"/>
      <c r="J9" s="64">
        <v>8</v>
      </c>
      <c r="K9" s="65"/>
      <c r="L9" s="62">
        <v>8</v>
      </c>
      <c r="M9" s="63"/>
      <c r="N9" s="83">
        <v>8</v>
      </c>
      <c r="O9" s="63"/>
      <c r="P9" s="62">
        <v>10</v>
      </c>
      <c r="Q9" s="63"/>
      <c r="R9" s="62">
        <v>7</v>
      </c>
      <c r="S9" s="63"/>
      <c r="T9" s="62"/>
      <c r="U9" s="63"/>
      <c r="V9" s="62">
        <v>7</v>
      </c>
      <c r="W9" s="63"/>
      <c r="X9" s="62">
        <v>7</v>
      </c>
      <c r="Y9" s="63"/>
      <c r="Z9" s="62">
        <v>8</v>
      </c>
      <c r="AA9" s="63"/>
      <c r="AB9" s="62">
        <v>8</v>
      </c>
      <c r="AC9" s="63"/>
      <c r="AD9" s="62">
        <v>7</v>
      </c>
      <c r="AE9" s="63"/>
      <c r="AF9" s="64">
        <v>7</v>
      </c>
      <c r="AG9" s="65"/>
      <c r="AH9" s="62">
        <v>8</v>
      </c>
      <c r="AI9" s="63"/>
      <c r="AJ9" s="60">
        <f>AVERAGE(D9:AI9)</f>
        <v>7.666666666666667</v>
      </c>
      <c r="AK9" s="61"/>
      <c r="AL9" s="10">
        <v>28</v>
      </c>
      <c r="AM9" s="10">
        <v>26</v>
      </c>
      <c r="AN9" s="10">
        <v>2</v>
      </c>
      <c r="AO9" s="10"/>
      <c r="AS9">
        <f>COUNTIFS(D9:AI9,"&gt;9")</f>
        <v>1</v>
      </c>
      <c r="AT9">
        <f>COUNTIFS(D9:AI9,"&gt;6",D9:AI9,"&lt;10")</f>
        <v>13</v>
      </c>
      <c r="AU9">
        <f>COUNTIFS(D9:AI9,"&gt;3",D9:AI9,"&lt;7")</f>
        <v>1</v>
      </c>
      <c r="AV9">
        <f>COUNTIFS(D9:AI9,"&lt;4")</f>
        <v>0</v>
      </c>
      <c r="AW9"/>
      <c r="AX9" t="str">
        <f>IF(AND(AS9&gt;0,AT9=0,AU9=0,AV9=0),"В",IF(AND(AS9&gt;0,AT9&gt;0,AU9=0,AV9=0),"ДВ",IF(AND(AS9=0,AT9&gt;0,AU9&gt;0,AV9=0),"ЗД",IF(AND(AS9=0,AT9&gt;0,AU9=0,AV9=0),"Д",IF(AND(AS9=0,AT9=0,AU9&gt;0,AV9=0),"З",IF(AND(AS9=0,AT9=0,AU9=0,AV9&gt;0),"НЗ",IF(AND(AS9&gt;0,AT9&gt;0,AU9&gt;0,AV9=0),"ЗДВ")))))))</f>
        <v>ЗДВ</v>
      </c>
    </row>
    <row r="10" spans="1:71" s="7" customFormat="1" ht="15" customHeight="1" thickBot="1" x14ac:dyDescent="0.25">
      <c r="A10" s="19">
        <v>2</v>
      </c>
      <c r="B10" s="52" t="s">
        <v>52</v>
      </c>
      <c r="C10" s="55" t="s">
        <v>57</v>
      </c>
      <c r="D10" s="72">
        <v>6</v>
      </c>
      <c r="E10" s="73"/>
      <c r="F10" s="64">
        <v>6</v>
      </c>
      <c r="G10" s="65"/>
      <c r="H10" s="62">
        <v>8</v>
      </c>
      <c r="I10" s="63"/>
      <c r="J10" s="64">
        <v>7</v>
      </c>
      <c r="K10" s="65"/>
      <c r="L10" s="62">
        <v>7</v>
      </c>
      <c r="M10" s="63"/>
      <c r="N10" s="62">
        <v>6</v>
      </c>
      <c r="O10" s="63"/>
      <c r="P10" s="62">
        <v>8</v>
      </c>
      <c r="Q10" s="63"/>
      <c r="R10" s="62">
        <v>6</v>
      </c>
      <c r="S10" s="63"/>
      <c r="T10" s="62"/>
      <c r="U10" s="63"/>
      <c r="V10" s="62">
        <v>6</v>
      </c>
      <c r="W10" s="63"/>
      <c r="X10" s="62">
        <v>7</v>
      </c>
      <c r="Y10" s="63"/>
      <c r="Z10" s="62">
        <v>7</v>
      </c>
      <c r="AA10" s="63"/>
      <c r="AB10" s="62">
        <v>9</v>
      </c>
      <c r="AC10" s="63"/>
      <c r="AD10" s="62">
        <v>8</v>
      </c>
      <c r="AE10" s="63"/>
      <c r="AF10" s="64">
        <v>6</v>
      </c>
      <c r="AG10" s="65"/>
      <c r="AH10" s="62">
        <v>8</v>
      </c>
      <c r="AI10" s="63"/>
      <c r="AJ10" s="60">
        <f t="shared" ref="AJ10:AJ38" si="0">AVERAGE(D10:AI10)</f>
        <v>7</v>
      </c>
      <c r="AK10" s="61"/>
      <c r="AL10" s="11">
        <v>28</v>
      </c>
      <c r="AM10" s="11"/>
      <c r="AN10" s="11">
        <v>28</v>
      </c>
      <c r="AO10" s="11"/>
      <c r="AS10">
        <f t="shared" ref="AS10:AS39" si="1">COUNTIFS(D10:AI10,"&gt;9")</f>
        <v>0</v>
      </c>
      <c r="AT10">
        <f t="shared" ref="AT10:AT39" si="2">COUNTIFS(D10:AI10,"&gt;6",D10:AI10,"&lt;10")</f>
        <v>9</v>
      </c>
      <c r="AU10">
        <f t="shared" ref="AU10:AU39" si="3">COUNTIFS(D10:AI10,"&gt;3",D10:AI10,"&lt;7")</f>
        <v>6</v>
      </c>
      <c r="AV10">
        <f t="shared" ref="AV10:AV39" si="4">COUNTIFS(D10:AI10,"&lt;4")</f>
        <v>0</v>
      </c>
      <c r="AW10"/>
      <c r="AX10" t="str">
        <f t="shared" ref="AX10:AX16" si="5">IF(AND(AS10&gt;0,AT10=0,AU10=0,AV10=0),"В",IF(AND(AS10&gt;0,AT10&gt;0,AU10=0,AV10=0),"ДВ",IF(AND(AS10=0,AT10&gt;0,AU10&gt;0,AV10=0),"ЗД",IF(AND(AS10=0,AT10&gt;0,AU10=0,AV10=0),"Д",IF(AND(AS10=0,AT10=0,AU10&gt;0,AV10=0),"З",IF(AND(AS10=0,AT10=0,AU10=0,AV10&gt;0),"НЗ",IF(AND(AS10&gt;0,AT10&gt;0,AU10&gt;0,AV10=0),"ЗДВ")))))))</f>
        <v>ЗД</v>
      </c>
    </row>
    <row r="11" spans="1:71" s="7" customFormat="1" ht="16.5" customHeight="1" thickBot="1" x14ac:dyDescent="0.25">
      <c r="A11" s="19">
        <v>3</v>
      </c>
      <c r="B11" s="52" t="s">
        <v>52</v>
      </c>
      <c r="C11" s="55" t="s">
        <v>58</v>
      </c>
      <c r="D11" s="72">
        <v>6</v>
      </c>
      <c r="E11" s="73"/>
      <c r="F11" s="64">
        <v>4</v>
      </c>
      <c r="G11" s="65"/>
      <c r="H11" s="62">
        <v>9</v>
      </c>
      <c r="I11" s="63"/>
      <c r="J11" s="64">
        <v>7</v>
      </c>
      <c r="K11" s="65"/>
      <c r="L11" s="83">
        <v>7</v>
      </c>
      <c r="M11" s="63"/>
      <c r="N11" s="62">
        <v>6</v>
      </c>
      <c r="O11" s="63"/>
      <c r="P11" s="83" t="s">
        <v>87</v>
      </c>
      <c r="Q11" s="63"/>
      <c r="R11" s="62">
        <v>6</v>
      </c>
      <c r="S11" s="63"/>
      <c r="T11" s="62"/>
      <c r="U11" s="63"/>
      <c r="V11" s="62">
        <v>7</v>
      </c>
      <c r="W11" s="63"/>
      <c r="X11" s="62">
        <v>7</v>
      </c>
      <c r="Y11" s="63"/>
      <c r="Z11" s="62">
        <v>7</v>
      </c>
      <c r="AA11" s="63"/>
      <c r="AB11" s="62">
        <v>7</v>
      </c>
      <c r="AC11" s="63"/>
      <c r="AD11" s="62">
        <v>6</v>
      </c>
      <c r="AE11" s="63"/>
      <c r="AF11" s="64">
        <v>6</v>
      </c>
      <c r="AG11" s="65"/>
      <c r="AH11" s="62">
        <v>8</v>
      </c>
      <c r="AI11" s="63"/>
      <c r="AJ11" s="60">
        <f t="shared" si="0"/>
        <v>6.6428571428571432</v>
      </c>
      <c r="AK11" s="61"/>
      <c r="AL11" s="11">
        <v>8</v>
      </c>
      <c r="AM11" s="11"/>
      <c r="AN11" s="11">
        <v>8</v>
      </c>
      <c r="AO11" s="11"/>
      <c r="AS11">
        <f t="shared" si="1"/>
        <v>0</v>
      </c>
      <c r="AT11">
        <f t="shared" si="2"/>
        <v>8</v>
      </c>
      <c r="AU11">
        <f t="shared" si="3"/>
        <v>6</v>
      </c>
      <c r="AV11">
        <f t="shared" si="4"/>
        <v>0</v>
      </c>
      <c r="AW11"/>
      <c r="AX11" t="str">
        <f t="shared" si="5"/>
        <v>ЗД</v>
      </c>
    </row>
    <row r="12" spans="1:71" s="7" customFormat="1" ht="15.75" customHeight="1" thickBot="1" x14ac:dyDescent="0.25">
      <c r="A12" s="19">
        <v>4</v>
      </c>
      <c r="B12" s="52" t="s">
        <v>52</v>
      </c>
      <c r="C12" s="55" t="s">
        <v>59</v>
      </c>
      <c r="D12" s="72">
        <v>9</v>
      </c>
      <c r="E12" s="73"/>
      <c r="F12" s="64">
        <v>7</v>
      </c>
      <c r="G12" s="65"/>
      <c r="H12" s="62">
        <v>10</v>
      </c>
      <c r="I12" s="63"/>
      <c r="J12" s="64">
        <v>9</v>
      </c>
      <c r="K12" s="65"/>
      <c r="L12" s="62">
        <v>10</v>
      </c>
      <c r="M12" s="63"/>
      <c r="N12" s="62">
        <v>9</v>
      </c>
      <c r="O12" s="63"/>
      <c r="P12" s="62">
        <v>9</v>
      </c>
      <c r="Q12" s="63"/>
      <c r="R12" s="62">
        <v>8</v>
      </c>
      <c r="S12" s="63"/>
      <c r="T12" s="62"/>
      <c r="U12" s="63"/>
      <c r="V12" s="62">
        <v>8</v>
      </c>
      <c r="W12" s="63"/>
      <c r="X12" s="62">
        <v>9</v>
      </c>
      <c r="Y12" s="63"/>
      <c r="Z12" s="62">
        <v>9</v>
      </c>
      <c r="AA12" s="63"/>
      <c r="AB12" s="62">
        <v>8</v>
      </c>
      <c r="AC12" s="63"/>
      <c r="AD12" s="62">
        <v>9</v>
      </c>
      <c r="AE12" s="63"/>
      <c r="AF12" s="64">
        <v>8</v>
      </c>
      <c r="AG12" s="65"/>
      <c r="AH12" s="62">
        <v>10</v>
      </c>
      <c r="AI12" s="63"/>
      <c r="AJ12" s="60">
        <f t="shared" si="0"/>
        <v>8.8000000000000007</v>
      </c>
      <c r="AK12" s="61"/>
      <c r="AL12" s="11"/>
      <c r="AM12" s="11"/>
      <c r="AN12" s="11"/>
      <c r="AO12" s="11"/>
      <c r="AS12">
        <f t="shared" si="1"/>
        <v>3</v>
      </c>
      <c r="AT12">
        <f t="shared" si="2"/>
        <v>12</v>
      </c>
      <c r="AU12">
        <f t="shared" si="3"/>
        <v>0</v>
      </c>
      <c r="AV12">
        <f t="shared" si="4"/>
        <v>0</v>
      </c>
      <c r="AW12"/>
      <c r="AX12" t="str">
        <f t="shared" si="5"/>
        <v>ДВ</v>
      </c>
    </row>
    <row r="13" spans="1:71" s="7" customFormat="1" ht="17.25" customHeight="1" thickBot="1" x14ac:dyDescent="0.25">
      <c r="A13" s="19">
        <v>5</v>
      </c>
      <c r="B13" s="52" t="s">
        <v>52</v>
      </c>
      <c r="C13" s="55" t="s">
        <v>60</v>
      </c>
      <c r="D13" s="72">
        <v>5</v>
      </c>
      <c r="E13" s="73"/>
      <c r="F13" s="64">
        <v>5</v>
      </c>
      <c r="G13" s="65"/>
      <c r="H13" s="62">
        <v>7</v>
      </c>
      <c r="I13" s="63"/>
      <c r="J13" s="64">
        <v>7</v>
      </c>
      <c r="K13" s="65"/>
      <c r="L13" s="83">
        <v>7</v>
      </c>
      <c r="M13" s="63"/>
      <c r="N13" s="83">
        <v>6</v>
      </c>
      <c r="O13" s="63"/>
      <c r="P13" s="62">
        <v>6</v>
      </c>
      <c r="Q13" s="63"/>
      <c r="R13" s="62">
        <v>7</v>
      </c>
      <c r="S13" s="63"/>
      <c r="T13" s="62"/>
      <c r="U13" s="63"/>
      <c r="V13" s="62">
        <v>7</v>
      </c>
      <c r="W13" s="63"/>
      <c r="X13" s="64">
        <v>6</v>
      </c>
      <c r="Y13" s="65"/>
      <c r="Z13" s="62">
        <v>8</v>
      </c>
      <c r="AA13" s="63"/>
      <c r="AB13" s="62">
        <v>7</v>
      </c>
      <c r="AC13" s="63"/>
      <c r="AD13" s="62">
        <v>6</v>
      </c>
      <c r="AE13" s="63"/>
      <c r="AF13" s="64">
        <v>6</v>
      </c>
      <c r="AG13" s="65"/>
      <c r="AH13" s="62">
        <v>8</v>
      </c>
      <c r="AI13" s="63"/>
      <c r="AJ13" s="60">
        <f t="shared" si="0"/>
        <v>6.5333333333333332</v>
      </c>
      <c r="AK13" s="61"/>
      <c r="AL13" s="11">
        <v>26</v>
      </c>
      <c r="AM13" s="11">
        <v>26</v>
      </c>
      <c r="AN13" s="11"/>
      <c r="AO13" s="11"/>
      <c r="AS13">
        <f t="shared" si="1"/>
        <v>0</v>
      </c>
      <c r="AT13">
        <f t="shared" si="2"/>
        <v>8</v>
      </c>
      <c r="AU13">
        <f t="shared" si="3"/>
        <v>7</v>
      </c>
      <c r="AV13">
        <f t="shared" si="4"/>
        <v>0</v>
      </c>
      <c r="AW13"/>
      <c r="AX13" t="str">
        <f t="shared" si="5"/>
        <v>ЗД</v>
      </c>
    </row>
    <row r="14" spans="1:71" s="7" customFormat="1" ht="16.5" customHeight="1" thickBot="1" x14ac:dyDescent="0.25">
      <c r="A14" s="19">
        <v>6</v>
      </c>
      <c r="B14" s="52" t="s">
        <v>52</v>
      </c>
      <c r="C14" s="55" t="s">
        <v>61</v>
      </c>
      <c r="D14" s="72">
        <v>8</v>
      </c>
      <c r="E14" s="73"/>
      <c r="F14" s="64">
        <v>7</v>
      </c>
      <c r="G14" s="65"/>
      <c r="H14" s="62">
        <v>10</v>
      </c>
      <c r="I14" s="63"/>
      <c r="J14" s="64">
        <v>9</v>
      </c>
      <c r="K14" s="65"/>
      <c r="L14" s="83">
        <v>9</v>
      </c>
      <c r="M14" s="63"/>
      <c r="N14" s="62">
        <v>9</v>
      </c>
      <c r="O14" s="63"/>
      <c r="P14" s="62">
        <v>9</v>
      </c>
      <c r="Q14" s="63"/>
      <c r="R14" s="62">
        <v>8</v>
      </c>
      <c r="S14" s="63"/>
      <c r="T14" s="62"/>
      <c r="U14" s="63"/>
      <c r="V14" s="62">
        <v>9</v>
      </c>
      <c r="W14" s="63"/>
      <c r="X14" s="62">
        <v>9</v>
      </c>
      <c r="Y14" s="63"/>
      <c r="Z14" s="62">
        <v>9</v>
      </c>
      <c r="AA14" s="63"/>
      <c r="AB14" s="62">
        <v>9</v>
      </c>
      <c r="AC14" s="63"/>
      <c r="AD14" s="62">
        <v>8</v>
      </c>
      <c r="AE14" s="63"/>
      <c r="AF14" s="64">
        <v>8</v>
      </c>
      <c r="AG14" s="65"/>
      <c r="AH14" s="62">
        <v>10</v>
      </c>
      <c r="AI14" s="63"/>
      <c r="AJ14" s="60">
        <f t="shared" si="0"/>
        <v>8.7333333333333325</v>
      </c>
      <c r="AK14" s="61"/>
      <c r="AL14" s="11">
        <v>14</v>
      </c>
      <c r="AM14" s="11">
        <v>14</v>
      </c>
      <c r="AN14" s="11"/>
      <c r="AO14" s="11"/>
      <c r="AS14">
        <f t="shared" si="1"/>
        <v>2</v>
      </c>
      <c r="AT14">
        <f t="shared" si="2"/>
        <v>13</v>
      </c>
      <c r="AU14">
        <f t="shared" si="3"/>
        <v>0</v>
      </c>
      <c r="AV14">
        <f t="shared" si="4"/>
        <v>0</v>
      </c>
      <c r="AW14"/>
      <c r="AX14" t="str">
        <f t="shared" si="5"/>
        <v>ДВ</v>
      </c>
    </row>
    <row r="15" spans="1:71" s="7" customFormat="1" ht="17.25" customHeight="1" thickBot="1" x14ac:dyDescent="0.25">
      <c r="A15" s="19">
        <v>7</v>
      </c>
      <c r="B15" s="52" t="s">
        <v>52</v>
      </c>
      <c r="C15" s="56" t="s">
        <v>62</v>
      </c>
      <c r="D15" s="72">
        <v>6</v>
      </c>
      <c r="E15" s="73"/>
      <c r="F15" s="64">
        <v>4</v>
      </c>
      <c r="G15" s="65"/>
      <c r="H15" s="62">
        <v>7</v>
      </c>
      <c r="I15" s="63"/>
      <c r="J15" s="64">
        <v>7</v>
      </c>
      <c r="K15" s="65"/>
      <c r="L15" s="62">
        <v>8</v>
      </c>
      <c r="M15" s="63"/>
      <c r="N15" s="62">
        <v>5</v>
      </c>
      <c r="O15" s="63"/>
      <c r="P15" s="83" t="s">
        <v>87</v>
      </c>
      <c r="Q15" s="63"/>
      <c r="R15" s="62">
        <v>6</v>
      </c>
      <c r="S15" s="63"/>
      <c r="T15" s="62"/>
      <c r="U15" s="63"/>
      <c r="V15" s="62">
        <v>7</v>
      </c>
      <c r="W15" s="63"/>
      <c r="X15" s="62">
        <v>6</v>
      </c>
      <c r="Y15" s="63"/>
      <c r="Z15" s="62">
        <v>7</v>
      </c>
      <c r="AA15" s="63"/>
      <c r="AB15" s="62">
        <v>7</v>
      </c>
      <c r="AC15" s="63"/>
      <c r="AD15" s="62">
        <v>6</v>
      </c>
      <c r="AE15" s="63"/>
      <c r="AF15" s="64">
        <v>7</v>
      </c>
      <c r="AG15" s="65"/>
      <c r="AH15" s="62">
        <v>7</v>
      </c>
      <c r="AI15" s="63"/>
      <c r="AJ15" s="60">
        <f t="shared" si="0"/>
        <v>6.4285714285714288</v>
      </c>
      <c r="AK15" s="61"/>
      <c r="AL15" s="11">
        <v>16</v>
      </c>
      <c r="AM15" s="11">
        <v>12</v>
      </c>
      <c r="AN15" s="11">
        <v>4</v>
      </c>
      <c r="AO15" s="11"/>
      <c r="AS15">
        <f t="shared" si="1"/>
        <v>0</v>
      </c>
      <c r="AT15">
        <f t="shared" si="2"/>
        <v>8</v>
      </c>
      <c r="AU15">
        <f t="shared" si="3"/>
        <v>6</v>
      </c>
      <c r="AV15">
        <f t="shared" si="4"/>
        <v>0</v>
      </c>
      <c r="AW15"/>
      <c r="AX15" t="str">
        <f t="shared" si="5"/>
        <v>ЗД</v>
      </c>
    </row>
    <row r="16" spans="1:71" s="7" customFormat="1" ht="16.5" customHeight="1" thickBot="1" x14ac:dyDescent="0.25">
      <c r="A16" s="19">
        <v>8</v>
      </c>
      <c r="B16" s="52" t="s">
        <v>52</v>
      </c>
      <c r="C16" s="55" t="s">
        <v>63</v>
      </c>
      <c r="D16" s="72">
        <v>8</v>
      </c>
      <c r="E16" s="73"/>
      <c r="F16" s="64">
        <v>5</v>
      </c>
      <c r="G16" s="65"/>
      <c r="H16" s="62">
        <v>8</v>
      </c>
      <c r="I16" s="63"/>
      <c r="J16" s="64">
        <v>8</v>
      </c>
      <c r="K16" s="65"/>
      <c r="L16" s="62">
        <v>8</v>
      </c>
      <c r="M16" s="63"/>
      <c r="N16" s="83">
        <v>7</v>
      </c>
      <c r="O16" s="63"/>
      <c r="P16" s="62">
        <v>7</v>
      </c>
      <c r="Q16" s="63"/>
      <c r="R16" s="62">
        <v>9</v>
      </c>
      <c r="S16" s="63"/>
      <c r="T16" s="62"/>
      <c r="U16" s="63"/>
      <c r="V16" s="62">
        <v>7</v>
      </c>
      <c r="W16" s="63"/>
      <c r="X16" s="62">
        <v>8</v>
      </c>
      <c r="Y16" s="63"/>
      <c r="Z16" s="62">
        <v>8</v>
      </c>
      <c r="AA16" s="63"/>
      <c r="AB16" s="62">
        <v>7</v>
      </c>
      <c r="AC16" s="63"/>
      <c r="AD16" s="62">
        <v>8</v>
      </c>
      <c r="AE16" s="63"/>
      <c r="AF16" s="64">
        <v>7</v>
      </c>
      <c r="AG16" s="65"/>
      <c r="AH16" s="62">
        <v>7</v>
      </c>
      <c r="AI16" s="63"/>
      <c r="AJ16" s="60">
        <f t="shared" si="0"/>
        <v>7.4666666666666668</v>
      </c>
      <c r="AK16" s="61"/>
      <c r="AL16" s="11"/>
      <c r="AM16" s="11"/>
      <c r="AN16" s="11"/>
      <c r="AO16" s="11"/>
      <c r="AS16">
        <f t="shared" si="1"/>
        <v>0</v>
      </c>
      <c r="AT16">
        <f t="shared" si="2"/>
        <v>14</v>
      </c>
      <c r="AU16">
        <f t="shared" si="3"/>
        <v>1</v>
      </c>
      <c r="AV16">
        <f t="shared" si="4"/>
        <v>0</v>
      </c>
      <c r="AW16"/>
      <c r="AX16" t="str">
        <f t="shared" si="5"/>
        <v>ЗД</v>
      </c>
    </row>
    <row r="17" spans="1:50" s="7" customFormat="1" ht="16.5" customHeight="1" thickBot="1" x14ac:dyDescent="0.25">
      <c r="A17" s="19">
        <v>9</v>
      </c>
      <c r="B17" s="52" t="s">
        <v>50</v>
      </c>
      <c r="C17" s="55" t="s">
        <v>64</v>
      </c>
      <c r="D17" s="72">
        <v>7</v>
      </c>
      <c r="E17" s="73"/>
      <c r="F17" s="64">
        <v>6</v>
      </c>
      <c r="G17" s="65"/>
      <c r="H17" s="62">
        <v>9</v>
      </c>
      <c r="I17" s="63"/>
      <c r="J17" s="64">
        <v>8</v>
      </c>
      <c r="K17" s="65"/>
      <c r="L17" s="62">
        <v>8</v>
      </c>
      <c r="M17" s="63"/>
      <c r="N17" s="62">
        <v>10</v>
      </c>
      <c r="O17" s="63"/>
      <c r="P17" s="62">
        <v>7</v>
      </c>
      <c r="Q17" s="63"/>
      <c r="R17" s="62">
        <v>7</v>
      </c>
      <c r="S17" s="63"/>
      <c r="T17" s="62"/>
      <c r="U17" s="63"/>
      <c r="V17" s="62">
        <v>8</v>
      </c>
      <c r="W17" s="63"/>
      <c r="X17" s="62">
        <v>8</v>
      </c>
      <c r="Y17" s="63"/>
      <c r="Z17" s="62">
        <v>8</v>
      </c>
      <c r="AA17" s="63"/>
      <c r="AB17" s="62">
        <v>8</v>
      </c>
      <c r="AC17" s="63"/>
      <c r="AD17" s="62">
        <v>8</v>
      </c>
      <c r="AE17" s="63"/>
      <c r="AF17" s="64">
        <v>7</v>
      </c>
      <c r="AG17" s="65"/>
      <c r="AH17" s="62">
        <v>8</v>
      </c>
      <c r="AI17" s="63"/>
      <c r="AJ17" s="60">
        <f t="shared" si="0"/>
        <v>7.8</v>
      </c>
      <c r="AK17" s="61"/>
      <c r="AL17" s="11">
        <v>14</v>
      </c>
      <c r="AM17" s="11"/>
      <c r="AN17" s="11">
        <v>14</v>
      </c>
      <c r="AO17" s="11"/>
      <c r="AS17">
        <f t="shared" si="1"/>
        <v>1</v>
      </c>
      <c r="AT17">
        <f t="shared" si="2"/>
        <v>13</v>
      </c>
      <c r="AU17">
        <f t="shared" si="3"/>
        <v>1</v>
      </c>
      <c r="AV17">
        <f t="shared" si="4"/>
        <v>0</v>
      </c>
      <c r="AW17"/>
      <c r="AX17" t="str">
        <f>IF(AND(AS17&gt;0,AT17=0,AU17=0,AV17=0),"В",IF(AND(AS17&gt;0,AT17&gt;0,AU17=0,AV17=0),"ДВ",IF(AND(AS17=0,AT17&gt;0,AU17&gt;0,AV17=0),"ЗД",IF(AND(AS17=0,AT17&gt;0,AU17=0,AV17=0),"Д",IF(AND(AS17=0,AT17=0,AU17&gt;0,AV17=0),"З",IF(AND(AS17=0,AT17=0,AU17=0,AV17&gt;0),"НЗ",IF(AND(AS17&gt;0,AT17&gt;0,AU17&gt;0,AV17=0),"ЗДВ",IF(AV17=1,"Зодн3"))))))))</f>
        <v>ЗДВ</v>
      </c>
    </row>
    <row r="18" spans="1:50" s="7" customFormat="1" ht="17.25" customHeight="1" thickBot="1" x14ac:dyDescent="0.25">
      <c r="A18" s="19">
        <v>10</v>
      </c>
      <c r="B18" s="52" t="s">
        <v>50</v>
      </c>
      <c r="C18" s="56" t="s">
        <v>65</v>
      </c>
      <c r="D18" s="72">
        <v>7</v>
      </c>
      <c r="E18" s="73"/>
      <c r="F18" s="64">
        <v>6</v>
      </c>
      <c r="G18" s="65"/>
      <c r="H18" s="62">
        <v>8</v>
      </c>
      <c r="I18" s="63"/>
      <c r="J18" s="64">
        <v>7</v>
      </c>
      <c r="K18" s="65"/>
      <c r="L18" s="62">
        <v>7</v>
      </c>
      <c r="M18" s="63"/>
      <c r="N18" s="62">
        <v>5</v>
      </c>
      <c r="O18" s="63"/>
      <c r="P18" s="62">
        <v>7</v>
      </c>
      <c r="Q18" s="63"/>
      <c r="R18" s="62">
        <v>7</v>
      </c>
      <c r="S18" s="63"/>
      <c r="T18" s="62"/>
      <c r="U18" s="63"/>
      <c r="V18" s="62">
        <v>7</v>
      </c>
      <c r="W18" s="63"/>
      <c r="X18" s="62">
        <v>7</v>
      </c>
      <c r="Y18" s="63"/>
      <c r="Z18" s="62">
        <v>8</v>
      </c>
      <c r="AA18" s="63"/>
      <c r="AB18" s="62">
        <v>8</v>
      </c>
      <c r="AC18" s="63"/>
      <c r="AD18" s="62">
        <v>7</v>
      </c>
      <c r="AE18" s="63"/>
      <c r="AF18" s="64">
        <v>7</v>
      </c>
      <c r="AG18" s="65"/>
      <c r="AH18" s="62">
        <v>7</v>
      </c>
      <c r="AI18" s="63"/>
      <c r="AJ18" s="60">
        <f t="shared" si="0"/>
        <v>7</v>
      </c>
      <c r="AK18" s="61"/>
      <c r="AL18" s="11"/>
      <c r="AM18" s="11"/>
      <c r="AN18" s="11"/>
      <c r="AO18" s="11"/>
      <c r="AS18">
        <f t="shared" si="1"/>
        <v>0</v>
      </c>
      <c r="AT18">
        <f t="shared" si="2"/>
        <v>13</v>
      </c>
      <c r="AU18">
        <f t="shared" si="3"/>
        <v>2</v>
      </c>
      <c r="AV18">
        <f t="shared" si="4"/>
        <v>0</v>
      </c>
      <c r="AW18"/>
      <c r="AX18" t="str">
        <f t="shared" ref="AX18:AX39" si="6">IF(AND(AS18&gt;0,AT18=0,AU18=0,AV18=0),"В",IF(AND(AS18&gt;0,AT18&gt;0,AU18=0,AV18=0),"ДВ",IF(AND(AS18=0,AT18&gt;0,AU18&gt;0,AV18=0),"ЗД",IF(AND(AS18=0,AT18&gt;0,AU18=0,AV18=0),"Д",IF(AND(AS18=0,AT18=0,AU18&gt;0,AV18=0),"З",IF(AND(AS18=0,AT18=0,AU18=0,AV18&gt;0),"НЗ",IF(AND(AS18&gt;0,AT18&gt;0,AU18&gt;0,AV18=0),"ЗДВ",IF(AV18=1,"Зодн3"))))))))</f>
        <v>ЗД</v>
      </c>
    </row>
    <row r="19" spans="1:50" s="7" customFormat="1" ht="16.5" customHeight="1" thickBot="1" x14ac:dyDescent="0.25">
      <c r="A19" s="19">
        <v>11</v>
      </c>
      <c r="B19" s="52" t="s">
        <v>52</v>
      </c>
      <c r="C19" s="55" t="s">
        <v>66</v>
      </c>
      <c r="D19" s="72">
        <v>6</v>
      </c>
      <c r="E19" s="73"/>
      <c r="F19" s="64">
        <v>4</v>
      </c>
      <c r="G19" s="65"/>
      <c r="H19" s="62">
        <v>7</v>
      </c>
      <c r="I19" s="63"/>
      <c r="J19" s="64">
        <v>6</v>
      </c>
      <c r="K19" s="65"/>
      <c r="L19" s="83">
        <v>6</v>
      </c>
      <c r="M19" s="63"/>
      <c r="N19" s="62">
        <v>5</v>
      </c>
      <c r="O19" s="63"/>
      <c r="P19" s="83" t="s">
        <v>88</v>
      </c>
      <c r="Q19" s="63"/>
      <c r="R19" s="62">
        <v>5</v>
      </c>
      <c r="S19" s="63"/>
      <c r="T19" s="62"/>
      <c r="U19" s="63"/>
      <c r="V19" s="62">
        <v>6</v>
      </c>
      <c r="W19" s="63"/>
      <c r="X19" s="62">
        <v>5</v>
      </c>
      <c r="Y19" s="63"/>
      <c r="Z19" s="62">
        <v>7</v>
      </c>
      <c r="AA19" s="63"/>
      <c r="AB19" s="62">
        <v>5</v>
      </c>
      <c r="AC19" s="63"/>
      <c r="AD19" s="62">
        <v>7</v>
      </c>
      <c r="AE19" s="63"/>
      <c r="AF19" s="64">
        <v>6</v>
      </c>
      <c r="AG19" s="65"/>
      <c r="AH19" s="62">
        <v>7</v>
      </c>
      <c r="AI19" s="63"/>
      <c r="AJ19" s="60">
        <f t="shared" si="0"/>
        <v>5.8571428571428568</v>
      </c>
      <c r="AK19" s="61"/>
      <c r="AL19" s="11"/>
      <c r="AM19" s="11"/>
      <c r="AN19" s="11"/>
      <c r="AO19" s="11"/>
      <c r="AS19">
        <f t="shared" si="1"/>
        <v>0</v>
      </c>
      <c r="AT19">
        <f t="shared" si="2"/>
        <v>4</v>
      </c>
      <c r="AU19">
        <f t="shared" si="3"/>
        <v>10</v>
      </c>
      <c r="AV19">
        <f t="shared" si="4"/>
        <v>0</v>
      </c>
      <c r="AW19"/>
      <c r="AX19" t="str">
        <f t="shared" si="6"/>
        <v>ЗД</v>
      </c>
    </row>
    <row r="20" spans="1:50" s="7" customFormat="1" ht="15.75" customHeight="1" thickBot="1" x14ac:dyDescent="0.25">
      <c r="A20" s="19">
        <v>12</v>
      </c>
      <c r="B20" s="52" t="s">
        <v>50</v>
      </c>
      <c r="C20" s="55" t="s">
        <v>67</v>
      </c>
      <c r="D20" s="72">
        <v>4</v>
      </c>
      <c r="E20" s="73"/>
      <c r="F20" s="64">
        <v>4</v>
      </c>
      <c r="G20" s="65"/>
      <c r="H20" s="62">
        <v>7</v>
      </c>
      <c r="I20" s="63"/>
      <c r="J20" s="64">
        <v>5</v>
      </c>
      <c r="K20" s="65"/>
      <c r="L20" s="62">
        <v>5</v>
      </c>
      <c r="M20" s="63"/>
      <c r="N20" s="62">
        <v>4</v>
      </c>
      <c r="O20" s="63"/>
      <c r="P20" s="62">
        <v>5</v>
      </c>
      <c r="Q20" s="63"/>
      <c r="R20" s="62">
        <v>4</v>
      </c>
      <c r="S20" s="63"/>
      <c r="T20" s="62"/>
      <c r="U20" s="63"/>
      <c r="V20" s="62">
        <v>5</v>
      </c>
      <c r="W20" s="63"/>
      <c r="X20" s="62">
        <v>5</v>
      </c>
      <c r="Y20" s="63"/>
      <c r="Z20" s="62">
        <v>5</v>
      </c>
      <c r="AA20" s="63"/>
      <c r="AB20" s="62">
        <v>5</v>
      </c>
      <c r="AC20" s="63"/>
      <c r="AD20" s="62">
        <v>5</v>
      </c>
      <c r="AE20" s="63"/>
      <c r="AF20" s="64">
        <v>5</v>
      </c>
      <c r="AG20" s="65"/>
      <c r="AH20" s="62">
        <v>6</v>
      </c>
      <c r="AI20" s="63"/>
      <c r="AJ20" s="60">
        <f t="shared" si="0"/>
        <v>4.9333333333333336</v>
      </c>
      <c r="AK20" s="61"/>
      <c r="AL20" s="11">
        <v>30</v>
      </c>
      <c r="AM20" s="11">
        <v>8</v>
      </c>
      <c r="AN20" s="11">
        <v>22</v>
      </c>
      <c r="AO20" s="11"/>
      <c r="AS20">
        <f t="shared" si="1"/>
        <v>0</v>
      </c>
      <c r="AT20">
        <f t="shared" si="2"/>
        <v>1</v>
      </c>
      <c r="AU20">
        <f t="shared" si="3"/>
        <v>14</v>
      </c>
      <c r="AV20">
        <f t="shared" si="4"/>
        <v>0</v>
      </c>
      <c r="AW20"/>
      <c r="AX20" t="str">
        <f t="shared" si="6"/>
        <v>ЗД</v>
      </c>
    </row>
    <row r="21" spans="1:50" s="7" customFormat="1" ht="16.5" customHeight="1" thickBot="1" x14ac:dyDescent="0.25">
      <c r="A21" s="19">
        <v>13</v>
      </c>
      <c r="B21" s="52" t="s">
        <v>52</v>
      </c>
      <c r="C21" s="55" t="s">
        <v>68</v>
      </c>
      <c r="D21" s="72">
        <v>8</v>
      </c>
      <c r="E21" s="73"/>
      <c r="F21" s="64">
        <v>9</v>
      </c>
      <c r="G21" s="65"/>
      <c r="H21" s="62">
        <v>10</v>
      </c>
      <c r="I21" s="63"/>
      <c r="J21" s="64">
        <v>10</v>
      </c>
      <c r="K21" s="65"/>
      <c r="L21" s="62">
        <v>10</v>
      </c>
      <c r="M21" s="63"/>
      <c r="N21" s="62">
        <v>11</v>
      </c>
      <c r="O21" s="63"/>
      <c r="P21" s="83" t="s">
        <v>88</v>
      </c>
      <c r="Q21" s="63"/>
      <c r="R21" s="62">
        <v>10</v>
      </c>
      <c r="S21" s="63"/>
      <c r="T21" s="62"/>
      <c r="U21" s="63"/>
      <c r="V21" s="62">
        <v>9</v>
      </c>
      <c r="W21" s="63"/>
      <c r="X21" s="62">
        <v>8</v>
      </c>
      <c r="Y21" s="63"/>
      <c r="Z21" s="62">
        <v>10</v>
      </c>
      <c r="AA21" s="63"/>
      <c r="AB21" s="62">
        <v>7</v>
      </c>
      <c r="AC21" s="63"/>
      <c r="AD21" s="62">
        <v>10</v>
      </c>
      <c r="AE21" s="63"/>
      <c r="AF21" s="64">
        <v>9</v>
      </c>
      <c r="AG21" s="65"/>
      <c r="AH21" s="62">
        <v>9</v>
      </c>
      <c r="AI21" s="63"/>
      <c r="AJ21" s="60">
        <f t="shared" si="0"/>
        <v>9.2857142857142865</v>
      </c>
      <c r="AK21" s="61"/>
      <c r="AL21" s="11"/>
      <c r="AM21" s="11"/>
      <c r="AN21" s="11"/>
      <c r="AO21" s="11"/>
      <c r="AS21">
        <f t="shared" si="1"/>
        <v>7</v>
      </c>
      <c r="AT21">
        <f t="shared" si="2"/>
        <v>7</v>
      </c>
      <c r="AU21">
        <f t="shared" si="3"/>
        <v>0</v>
      </c>
      <c r="AV21">
        <f t="shared" si="4"/>
        <v>0</v>
      </c>
      <c r="AW21"/>
      <c r="AX21" t="str">
        <f t="shared" si="6"/>
        <v>ДВ</v>
      </c>
    </row>
    <row r="22" spans="1:50" s="7" customFormat="1" ht="15" customHeight="1" thickBot="1" x14ac:dyDescent="0.25">
      <c r="A22" s="20">
        <v>14</v>
      </c>
      <c r="B22" s="52" t="s">
        <v>52</v>
      </c>
      <c r="C22" s="55" t="s">
        <v>69</v>
      </c>
      <c r="D22" s="72">
        <v>6</v>
      </c>
      <c r="E22" s="73"/>
      <c r="F22" s="64">
        <v>5</v>
      </c>
      <c r="G22" s="65"/>
      <c r="H22" s="62">
        <v>8</v>
      </c>
      <c r="I22" s="63"/>
      <c r="J22" s="64">
        <v>7</v>
      </c>
      <c r="K22" s="65"/>
      <c r="L22" s="62">
        <v>7</v>
      </c>
      <c r="M22" s="63"/>
      <c r="N22" s="62">
        <v>8</v>
      </c>
      <c r="O22" s="63"/>
      <c r="P22" s="83">
        <v>8</v>
      </c>
      <c r="Q22" s="63"/>
      <c r="R22" s="62">
        <v>6</v>
      </c>
      <c r="S22" s="63"/>
      <c r="T22" s="62"/>
      <c r="U22" s="63"/>
      <c r="V22" s="62">
        <v>7</v>
      </c>
      <c r="W22" s="63"/>
      <c r="X22" s="62">
        <v>7</v>
      </c>
      <c r="Y22" s="63"/>
      <c r="Z22" s="62">
        <v>7</v>
      </c>
      <c r="AA22" s="63"/>
      <c r="AB22" s="62">
        <v>6</v>
      </c>
      <c r="AC22" s="63"/>
      <c r="AD22" s="62">
        <v>7</v>
      </c>
      <c r="AE22" s="63"/>
      <c r="AF22" s="64">
        <v>6</v>
      </c>
      <c r="AG22" s="65"/>
      <c r="AH22" s="62">
        <v>6</v>
      </c>
      <c r="AI22" s="63"/>
      <c r="AJ22" s="60">
        <f t="shared" si="0"/>
        <v>6.7333333333333334</v>
      </c>
      <c r="AK22" s="61"/>
      <c r="AL22" s="12">
        <v>12</v>
      </c>
      <c r="AM22" s="12"/>
      <c r="AN22" s="12">
        <v>12</v>
      </c>
      <c r="AO22" s="12"/>
      <c r="AS22">
        <f t="shared" si="1"/>
        <v>0</v>
      </c>
      <c r="AT22">
        <f t="shared" si="2"/>
        <v>9</v>
      </c>
      <c r="AU22">
        <f t="shared" si="3"/>
        <v>6</v>
      </c>
      <c r="AV22">
        <f t="shared" si="4"/>
        <v>0</v>
      </c>
      <c r="AW22"/>
      <c r="AX22" t="str">
        <f t="shared" si="6"/>
        <v>ЗД</v>
      </c>
    </row>
    <row r="23" spans="1:50" s="7" customFormat="1" ht="16.5" customHeight="1" thickBot="1" x14ac:dyDescent="0.25">
      <c r="A23" s="19">
        <v>15</v>
      </c>
      <c r="B23" s="52" t="s">
        <v>50</v>
      </c>
      <c r="C23" s="55" t="s">
        <v>70</v>
      </c>
      <c r="D23" s="72">
        <v>5</v>
      </c>
      <c r="E23" s="73"/>
      <c r="F23" s="64">
        <v>4</v>
      </c>
      <c r="G23" s="65"/>
      <c r="H23" s="62">
        <v>9</v>
      </c>
      <c r="I23" s="63"/>
      <c r="J23" s="64">
        <v>6</v>
      </c>
      <c r="K23" s="65"/>
      <c r="L23" s="83">
        <v>6</v>
      </c>
      <c r="M23" s="63"/>
      <c r="N23" s="83">
        <v>5</v>
      </c>
      <c r="O23" s="63"/>
      <c r="P23" s="83" t="s">
        <v>88</v>
      </c>
      <c r="Q23" s="63"/>
      <c r="R23" s="62">
        <v>7</v>
      </c>
      <c r="S23" s="63"/>
      <c r="T23" s="62"/>
      <c r="U23" s="63"/>
      <c r="V23" s="62">
        <v>6</v>
      </c>
      <c r="W23" s="63"/>
      <c r="X23" s="62">
        <v>6</v>
      </c>
      <c r="Y23" s="63"/>
      <c r="Z23" s="62">
        <v>6</v>
      </c>
      <c r="AA23" s="63"/>
      <c r="AB23" s="62">
        <v>7</v>
      </c>
      <c r="AC23" s="63"/>
      <c r="AD23" s="62">
        <v>6</v>
      </c>
      <c r="AE23" s="63"/>
      <c r="AF23" s="64">
        <v>6</v>
      </c>
      <c r="AG23" s="65"/>
      <c r="AH23" s="62">
        <v>6</v>
      </c>
      <c r="AI23" s="63"/>
      <c r="AJ23" s="60">
        <f t="shared" si="0"/>
        <v>6.0714285714285712</v>
      </c>
      <c r="AK23" s="61"/>
      <c r="AL23" s="11">
        <v>18</v>
      </c>
      <c r="AM23" s="11">
        <v>12</v>
      </c>
      <c r="AN23" s="11">
        <v>6</v>
      </c>
      <c r="AO23" s="11"/>
      <c r="AS23">
        <f t="shared" si="1"/>
        <v>0</v>
      </c>
      <c r="AT23">
        <f t="shared" si="2"/>
        <v>3</v>
      </c>
      <c r="AU23">
        <f t="shared" si="3"/>
        <v>11</v>
      </c>
      <c r="AV23">
        <f t="shared" si="4"/>
        <v>0</v>
      </c>
      <c r="AW23"/>
      <c r="AX23" t="str">
        <f t="shared" si="6"/>
        <v>ЗД</v>
      </c>
    </row>
    <row r="24" spans="1:50" s="7" customFormat="1" ht="16.5" customHeight="1" thickBot="1" x14ac:dyDescent="0.25">
      <c r="A24" s="19">
        <v>16</v>
      </c>
      <c r="B24" s="52" t="s">
        <v>50</v>
      </c>
      <c r="C24" s="55" t="s">
        <v>71</v>
      </c>
      <c r="D24" s="72">
        <v>6</v>
      </c>
      <c r="E24" s="73"/>
      <c r="F24" s="64">
        <v>5</v>
      </c>
      <c r="G24" s="65"/>
      <c r="H24" s="62">
        <v>8</v>
      </c>
      <c r="I24" s="63"/>
      <c r="J24" s="64">
        <v>7</v>
      </c>
      <c r="K24" s="65"/>
      <c r="L24" s="83">
        <v>8</v>
      </c>
      <c r="M24" s="63"/>
      <c r="N24" s="62">
        <v>5</v>
      </c>
      <c r="O24" s="63"/>
      <c r="P24" s="83">
        <v>9</v>
      </c>
      <c r="Q24" s="63"/>
      <c r="R24" s="62">
        <v>6</v>
      </c>
      <c r="S24" s="63"/>
      <c r="T24" s="62"/>
      <c r="U24" s="63"/>
      <c r="V24" s="62">
        <v>8</v>
      </c>
      <c r="W24" s="63"/>
      <c r="X24" s="62">
        <v>7</v>
      </c>
      <c r="Y24" s="63"/>
      <c r="Z24" s="62">
        <v>8</v>
      </c>
      <c r="AA24" s="63"/>
      <c r="AB24" s="62">
        <v>8</v>
      </c>
      <c r="AC24" s="63"/>
      <c r="AD24" s="62">
        <v>7</v>
      </c>
      <c r="AE24" s="63"/>
      <c r="AF24" s="64">
        <v>6</v>
      </c>
      <c r="AG24" s="65"/>
      <c r="AH24" s="62">
        <v>8</v>
      </c>
      <c r="AI24" s="63"/>
      <c r="AJ24" s="60">
        <f t="shared" si="0"/>
        <v>7.0666666666666664</v>
      </c>
      <c r="AK24" s="61"/>
      <c r="AL24" s="11">
        <v>6</v>
      </c>
      <c r="AM24" s="11">
        <v>4</v>
      </c>
      <c r="AN24" s="11">
        <v>2</v>
      </c>
      <c r="AO24" s="11"/>
      <c r="AS24">
        <f t="shared" si="1"/>
        <v>0</v>
      </c>
      <c r="AT24">
        <f t="shared" si="2"/>
        <v>10</v>
      </c>
      <c r="AU24">
        <f t="shared" si="3"/>
        <v>5</v>
      </c>
      <c r="AV24">
        <f t="shared" si="4"/>
        <v>0</v>
      </c>
      <c r="AW24"/>
      <c r="AX24" t="str">
        <f t="shared" si="6"/>
        <v>ЗД</v>
      </c>
    </row>
    <row r="25" spans="1:50" s="7" customFormat="1" ht="16.5" customHeight="1" thickBot="1" x14ac:dyDescent="0.25">
      <c r="A25" s="19">
        <v>17</v>
      </c>
      <c r="B25" s="52" t="s">
        <v>52</v>
      </c>
      <c r="C25" s="55" t="s">
        <v>72</v>
      </c>
      <c r="D25" s="72">
        <v>8</v>
      </c>
      <c r="E25" s="73"/>
      <c r="F25" s="64">
        <v>8</v>
      </c>
      <c r="G25" s="65"/>
      <c r="H25" s="62">
        <v>9</v>
      </c>
      <c r="I25" s="63"/>
      <c r="J25" s="64">
        <v>9</v>
      </c>
      <c r="K25" s="65"/>
      <c r="L25" s="62">
        <v>8</v>
      </c>
      <c r="M25" s="63"/>
      <c r="N25" s="62">
        <v>8</v>
      </c>
      <c r="O25" s="63"/>
      <c r="P25" s="62">
        <v>9</v>
      </c>
      <c r="Q25" s="63"/>
      <c r="R25" s="62">
        <v>8</v>
      </c>
      <c r="S25" s="63"/>
      <c r="T25" s="62"/>
      <c r="U25" s="63"/>
      <c r="V25" s="62">
        <v>8</v>
      </c>
      <c r="W25" s="63"/>
      <c r="X25" s="62">
        <v>9</v>
      </c>
      <c r="Y25" s="63"/>
      <c r="Z25" s="62">
        <v>8</v>
      </c>
      <c r="AA25" s="63"/>
      <c r="AB25" s="62">
        <v>8</v>
      </c>
      <c r="AC25" s="63"/>
      <c r="AD25" s="62">
        <v>9</v>
      </c>
      <c r="AE25" s="63"/>
      <c r="AF25" s="64">
        <v>9</v>
      </c>
      <c r="AG25" s="65"/>
      <c r="AH25" s="62">
        <v>9</v>
      </c>
      <c r="AI25" s="63"/>
      <c r="AJ25" s="60">
        <f t="shared" si="0"/>
        <v>8.4666666666666668</v>
      </c>
      <c r="AK25" s="61"/>
      <c r="AL25" s="11"/>
      <c r="AM25" s="11"/>
      <c r="AN25" s="11"/>
      <c r="AO25" s="11"/>
      <c r="AS25">
        <f t="shared" si="1"/>
        <v>0</v>
      </c>
      <c r="AT25">
        <f t="shared" si="2"/>
        <v>15</v>
      </c>
      <c r="AU25">
        <f t="shared" si="3"/>
        <v>0</v>
      </c>
      <c r="AV25">
        <f t="shared" si="4"/>
        <v>0</v>
      </c>
      <c r="AW25"/>
      <c r="AX25" t="str">
        <f t="shared" si="6"/>
        <v>Д</v>
      </c>
    </row>
    <row r="26" spans="1:50" s="7" customFormat="1" ht="17.25" customHeight="1" thickBot="1" x14ac:dyDescent="0.25">
      <c r="A26" s="19">
        <v>18</v>
      </c>
      <c r="B26" s="52" t="s">
        <v>52</v>
      </c>
      <c r="C26" s="56" t="s">
        <v>73</v>
      </c>
      <c r="D26" s="72">
        <v>10</v>
      </c>
      <c r="E26" s="73"/>
      <c r="F26" s="64">
        <v>10</v>
      </c>
      <c r="G26" s="65"/>
      <c r="H26" s="62">
        <v>10</v>
      </c>
      <c r="I26" s="63"/>
      <c r="J26" s="64">
        <v>10</v>
      </c>
      <c r="K26" s="65"/>
      <c r="L26" s="62">
        <v>11</v>
      </c>
      <c r="M26" s="63"/>
      <c r="N26" s="62">
        <v>10</v>
      </c>
      <c r="O26" s="63"/>
      <c r="P26" s="62">
        <v>9</v>
      </c>
      <c r="Q26" s="63"/>
      <c r="R26" s="62">
        <v>10</v>
      </c>
      <c r="S26" s="63"/>
      <c r="T26" s="62"/>
      <c r="U26" s="63"/>
      <c r="V26" s="62">
        <v>10</v>
      </c>
      <c r="W26" s="63"/>
      <c r="X26" s="62">
        <v>10</v>
      </c>
      <c r="Y26" s="63"/>
      <c r="Z26" s="62">
        <v>10</v>
      </c>
      <c r="AA26" s="63"/>
      <c r="AB26" s="62">
        <v>9</v>
      </c>
      <c r="AC26" s="63"/>
      <c r="AD26" s="62">
        <v>10</v>
      </c>
      <c r="AE26" s="63"/>
      <c r="AF26" s="64">
        <v>10</v>
      </c>
      <c r="AG26" s="65"/>
      <c r="AH26" s="62">
        <v>10</v>
      </c>
      <c r="AI26" s="63"/>
      <c r="AJ26" s="60">
        <f t="shared" si="0"/>
        <v>9.9333333333333336</v>
      </c>
      <c r="AK26" s="61"/>
      <c r="AL26" s="11"/>
      <c r="AM26" s="11"/>
      <c r="AN26" s="11"/>
      <c r="AO26" s="11"/>
      <c r="AS26">
        <f t="shared" si="1"/>
        <v>13</v>
      </c>
      <c r="AT26">
        <f t="shared" si="2"/>
        <v>2</v>
      </c>
      <c r="AU26">
        <f t="shared" si="3"/>
        <v>0</v>
      </c>
      <c r="AV26">
        <f t="shared" si="4"/>
        <v>0</v>
      </c>
      <c r="AW26"/>
      <c r="AX26" t="str">
        <f t="shared" si="6"/>
        <v>ДВ</v>
      </c>
    </row>
    <row r="27" spans="1:50" s="7" customFormat="1" ht="16.5" customHeight="1" thickBot="1" x14ac:dyDescent="0.25">
      <c r="A27" s="19">
        <v>19</v>
      </c>
      <c r="B27" s="52" t="s">
        <v>52</v>
      </c>
      <c r="C27" s="55" t="s">
        <v>74</v>
      </c>
      <c r="D27" s="72">
        <v>7</v>
      </c>
      <c r="E27" s="73"/>
      <c r="F27" s="64">
        <v>7</v>
      </c>
      <c r="G27" s="65"/>
      <c r="H27" s="62">
        <v>9</v>
      </c>
      <c r="I27" s="63"/>
      <c r="J27" s="64">
        <v>9</v>
      </c>
      <c r="K27" s="65"/>
      <c r="L27" s="62">
        <v>9</v>
      </c>
      <c r="M27" s="63"/>
      <c r="N27" s="62">
        <v>8</v>
      </c>
      <c r="O27" s="63"/>
      <c r="P27" s="62">
        <v>11</v>
      </c>
      <c r="Q27" s="63"/>
      <c r="R27" s="62">
        <v>9</v>
      </c>
      <c r="S27" s="63"/>
      <c r="T27" s="62"/>
      <c r="U27" s="63"/>
      <c r="V27" s="62">
        <v>9</v>
      </c>
      <c r="W27" s="63"/>
      <c r="X27" s="62">
        <v>9</v>
      </c>
      <c r="Y27" s="63"/>
      <c r="Z27" s="62">
        <v>9</v>
      </c>
      <c r="AA27" s="63"/>
      <c r="AB27" s="62">
        <v>9</v>
      </c>
      <c r="AC27" s="63"/>
      <c r="AD27" s="62">
        <v>9</v>
      </c>
      <c r="AE27" s="63"/>
      <c r="AF27" s="64">
        <v>7</v>
      </c>
      <c r="AG27" s="65"/>
      <c r="AH27" s="62">
        <v>10</v>
      </c>
      <c r="AI27" s="63"/>
      <c r="AJ27" s="60">
        <f t="shared" si="0"/>
        <v>8.7333333333333325</v>
      </c>
      <c r="AK27" s="61"/>
      <c r="AL27" s="11"/>
      <c r="AM27" s="11"/>
      <c r="AN27" s="11"/>
      <c r="AO27" s="11"/>
      <c r="AS27">
        <f t="shared" si="1"/>
        <v>2</v>
      </c>
      <c r="AT27">
        <f t="shared" si="2"/>
        <v>13</v>
      </c>
      <c r="AU27">
        <f t="shared" si="3"/>
        <v>0</v>
      </c>
      <c r="AV27">
        <f t="shared" si="4"/>
        <v>0</v>
      </c>
      <c r="AW27"/>
      <c r="AX27" t="str">
        <f t="shared" si="6"/>
        <v>ДВ</v>
      </c>
    </row>
    <row r="28" spans="1:50" s="7" customFormat="1" ht="16.5" customHeight="1" thickBot="1" x14ac:dyDescent="0.25">
      <c r="A28" s="19">
        <v>20</v>
      </c>
      <c r="B28" s="52" t="s">
        <v>52</v>
      </c>
      <c r="C28" s="55" t="s">
        <v>75</v>
      </c>
      <c r="D28" s="72">
        <v>9</v>
      </c>
      <c r="E28" s="73"/>
      <c r="F28" s="64">
        <v>8</v>
      </c>
      <c r="G28" s="65"/>
      <c r="H28" s="62">
        <v>10</v>
      </c>
      <c r="I28" s="63"/>
      <c r="J28" s="64">
        <v>10</v>
      </c>
      <c r="K28" s="65"/>
      <c r="L28" s="62">
        <v>9</v>
      </c>
      <c r="M28" s="63"/>
      <c r="N28" s="62">
        <v>9</v>
      </c>
      <c r="O28" s="63"/>
      <c r="P28" s="62">
        <v>9</v>
      </c>
      <c r="Q28" s="63"/>
      <c r="R28" s="62">
        <v>9</v>
      </c>
      <c r="S28" s="63"/>
      <c r="T28" s="62"/>
      <c r="U28" s="63"/>
      <c r="V28" s="62">
        <v>9</v>
      </c>
      <c r="W28" s="63"/>
      <c r="X28" s="62">
        <v>10</v>
      </c>
      <c r="Y28" s="63"/>
      <c r="Z28" s="62">
        <v>9</v>
      </c>
      <c r="AA28" s="63"/>
      <c r="AB28" s="62">
        <v>9</v>
      </c>
      <c r="AC28" s="63"/>
      <c r="AD28" s="62">
        <v>9</v>
      </c>
      <c r="AE28" s="63"/>
      <c r="AF28" s="64">
        <v>8</v>
      </c>
      <c r="AG28" s="65"/>
      <c r="AH28" s="62">
        <v>9</v>
      </c>
      <c r="AI28" s="63"/>
      <c r="AJ28" s="60">
        <f t="shared" si="0"/>
        <v>9.0666666666666664</v>
      </c>
      <c r="AK28" s="61"/>
      <c r="AL28" s="11"/>
      <c r="AM28" s="11"/>
      <c r="AN28" s="11"/>
      <c r="AO28" s="11"/>
      <c r="AS28">
        <f t="shared" si="1"/>
        <v>3</v>
      </c>
      <c r="AT28">
        <f t="shared" si="2"/>
        <v>12</v>
      </c>
      <c r="AU28">
        <f t="shared" si="3"/>
        <v>0</v>
      </c>
      <c r="AV28">
        <f t="shared" si="4"/>
        <v>0</v>
      </c>
      <c r="AW28"/>
      <c r="AX28" t="str">
        <f t="shared" si="6"/>
        <v>ДВ</v>
      </c>
    </row>
    <row r="29" spans="1:50" s="7" customFormat="1" ht="16.5" customHeight="1" thickBot="1" x14ac:dyDescent="0.25">
      <c r="A29" s="19">
        <v>21</v>
      </c>
      <c r="B29" s="52" t="s">
        <v>50</v>
      </c>
      <c r="C29" s="55" t="s">
        <v>76</v>
      </c>
      <c r="D29" s="72">
        <v>7</v>
      </c>
      <c r="E29" s="73"/>
      <c r="F29" s="64">
        <v>6</v>
      </c>
      <c r="G29" s="65"/>
      <c r="H29" s="62">
        <v>9</v>
      </c>
      <c r="I29" s="63"/>
      <c r="J29" s="64">
        <v>8</v>
      </c>
      <c r="K29" s="65"/>
      <c r="L29" s="62">
        <v>9</v>
      </c>
      <c r="M29" s="63"/>
      <c r="N29" s="62">
        <v>6</v>
      </c>
      <c r="O29" s="63"/>
      <c r="P29" s="62">
        <v>10</v>
      </c>
      <c r="Q29" s="63"/>
      <c r="R29" s="62">
        <v>7</v>
      </c>
      <c r="S29" s="63"/>
      <c r="T29" s="62"/>
      <c r="U29" s="63"/>
      <c r="V29" s="62">
        <v>9</v>
      </c>
      <c r="W29" s="63"/>
      <c r="X29" s="62">
        <v>9</v>
      </c>
      <c r="Y29" s="63"/>
      <c r="Z29" s="62">
        <v>7</v>
      </c>
      <c r="AA29" s="63"/>
      <c r="AB29" s="62">
        <v>8</v>
      </c>
      <c r="AC29" s="63"/>
      <c r="AD29" s="62">
        <v>7</v>
      </c>
      <c r="AE29" s="63"/>
      <c r="AF29" s="64">
        <v>6</v>
      </c>
      <c r="AG29" s="65"/>
      <c r="AH29" s="62">
        <v>8</v>
      </c>
      <c r="AI29" s="63"/>
      <c r="AJ29" s="60">
        <f t="shared" si="0"/>
        <v>7.7333333333333334</v>
      </c>
      <c r="AK29" s="61"/>
      <c r="AL29" s="11">
        <v>6</v>
      </c>
      <c r="AM29" s="11">
        <v>6</v>
      </c>
      <c r="AN29" s="11"/>
      <c r="AO29" s="11"/>
      <c r="AS29">
        <f t="shared" si="1"/>
        <v>1</v>
      </c>
      <c r="AT29">
        <f t="shared" si="2"/>
        <v>11</v>
      </c>
      <c r="AU29">
        <f t="shared" si="3"/>
        <v>3</v>
      </c>
      <c r="AV29">
        <f t="shared" si="4"/>
        <v>0</v>
      </c>
      <c r="AW29"/>
      <c r="AX29" t="str">
        <f t="shared" si="6"/>
        <v>ЗДВ</v>
      </c>
    </row>
    <row r="30" spans="1:50" s="7" customFormat="1" ht="16.5" customHeight="1" thickBot="1" x14ac:dyDescent="0.25">
      <c r="A30" s="20">
        <v>22</v>
      </c>
      <c r="B30" s="52" t="s">
        <v>50</v>
      </c>
      <c r="C30" s="55" t="s">
        <v>77</v>
      </c>
      <c r="D30" s="72">
        <v>7</v>
      </c>
      <c r="E30" s="73"/>
      <c r="F30" s="64">
        <v>6</v>
      </c>
      <c r="G30" s="65"/>
      <c r="H30" s="62">
        <v>8</v>
      </c>
      <c r="I30" s="63"/>
      <c r="J30" s="64">
        <v>9</v>
      </c>
      <c r="K30" s="65"/>
      <c r="L30" s="83">
        <v>9</v>
      </c>
      <c r="M30" s="63"/>
      <c r="N30" s="62">
        <v>7</v>
      </c>
      <c r="O30" s="63"/>
      <c r="P30" s="62">
        <v>11</v>
      </c>
      <c r="Q30" s="63"/>
      <c r="R30" s="62">
        <v>8</v>
      </c>
      <c r="S30" s="63"/>
      <c r="T30" s="62"/>
      <c r="U30" s="63"/>
      <c r="V30" s="62">
        <v>9</v>
      </c>
      <c r="W30" s="63"/>
      <c r="X30" s="62">
        <v>9</v>
      </c>
      <c r="Y30" s="63"/>
      <c r="Z30" s="62">
        <v>8</v>
      </c>
      <c r="AA30" s="63"/>
      <c r="AB30" s="62">
        <v>7</v>
      </c>
      <c r="AC30" s="63"/>
      <c r="AD30" s="62">
        <v>9</v>
      </c>
      <c r="AE30" s="63"/>
      <c r="AF30" s="64">
        <v>7</v>
      </c>
      <c r="AG30" s="65"/>
      <c r="AH30" s="62">
        <v>9</v>
      </c>
      <c r="AI30" s="63"/>
      <c r="AJ30" s="60">
        <f t="shared" si="0"/>
        <v>8.1999999999999993</v>
      </c>
      <c r="AK30" s="61"/>
      <c r="AL30" s="12">
        <v>6</v>
      </c>
      <c r="AM30" s="12"/>
      <c r="AN30" s="12">
        <v>6</v>
      </c>
      <c r="AO30" s="12"/>
      <c r="AS30">
        <f t="shared" si="1"/>
        <v>1</v>
      </c>
      <c r="AT30">
        <f t="shared" si="2"/>
        <v>13</v>
      </c>
      <c r="AU30">
        <f t="shared" si="3"/>
        <v>1</v>
      </c>
      <c r="AV30">
        <f t="shared" si="4"/>
        <v>0</v>
      </c>
      <c r="AW30"/>
      <c r="AX30" t="str">
        <f t="shared" si="6"/>
        <v>ЗДВ</v>
      </c>
    </row>
    <row r="31" spans="1:50" s="7" customFormat="1" ht="16.5" customHeight="1" thickBot="1" x14ac:dyDescent="0.25">
      <c r="A31" s="19">
        <v>23</v>
      </c>
      <c r="B31" s="52" t="s">
        <v>52</v>
      </c>
      <c r="C31" s="56" t="s">
        <v>78</v>
      </c>
      <c r="D31" s="72">
        <v>7</v>
      </c>
      <c r="E31" s="73"/>
      <c r="F31" s="64">
        <v>6</v>
      </c>
      <c r="G31" s="65"/>
      <c r="H31" s="62">
        <v>8</v>
      </c>
      <c r="I31" s="63"/>
      <c r="J31" s="64">
        <v>8</v>
      </c>
      <c r="K31" s="65"/>
      <c r="L31" s="62">
        <v>8</v>
      </c>
      <c r="M31" s="63"/>
      <c r="N31" s="83">
        <v>9</v>
      </c>
      <c r="O31" s="63"/>
      <c r="P31" s="62">
        <v>7</v>
      </c>
      <c r="Q31" s="63"/>
      <c r="R31" s="62">
        <v>7</v>
      </c>
      <c r="S31" s="63"/>
      <c r="T31" s="62"/>
      <c r="U31" s="63"/>
      <c r="V31" s="62">
        <v>8</v>
      </c>
      <c r="W31" s="63"/>
      <c r="X31" s="62">
        <v>7</v>
      </c>
      <c r="Y31" s="63"/>
      <c r="Z31" s="62">
        <v>8</v>
      </c>
      <c r="AA31" s="63"/>
      <c r="AB31" s="62">
        <v>7</v>
      </c>
      <c r="AC31" s="63"/>
      <c r="AD31" s="62">
        <v>7</v>
      </c>
      <c r="AE31" s="63"/>
      <c r="AF31" s="64">
        <v>6</v>
      </c>
      <c r="AG31" s="65"/>
      <c r="AH31" s="62">
        <v>9</v>
      </c>
      <c r="AI31" s="63"/>
      <c r="AJ31" s="60">
        <f t="shared" si="0"/>
        <v>7.4666666666666668</v>
      </c>
      <c r="AK31" s="61"/>
      <c r="AL31" s="11">
        <v>36</v>
      </c>
      <c r="AM31" s="11">
        <v>24</v>
      </c>
      <c r="AN31" s="11">
        <v>12</v>
      </c>
      <c r="AO31" s="11"/>
      <c r="AS31">
        <f t="shared" si="1"/>
        <v>0</v>
      </c>
      <c r="AT31">
        <f t="shared" si="2"/>
        <v>13</v>
      </c>
      <c r="AU31">
        <f t="shared" si="3"/>
        <v>2</v>
      </c>
      <c r="AV31">
        <f t="shared" si="4"/>
        <v>0</v>
      </c>
      <c r="AW31"/>
      <c r="AX31" t="str">
        <f t="shared" si="6"/>
        <v>ЗД</v>
      </c>
    </row>
    <row r="32" spans="1:50" s="7" customFormat="1" ht="15.75" customHeight="1" thickBot="1" x14ac:dyDescent="0.25">
      <c r="A32" s="19">
        <v>24</v>
      </c>
      <c r="B32" s="52" t="s">
        <v>52</v>
      </c>
      <c r="C32" s="56" t="s">
        <v>79</v>
      </c>
      <c r="D32" s="72">
        <v>7</v>
      </c>
      <c r="E32" s="73"/>
      <c r="F32" s="64">
        <v>5</v>
      </c>
      <c r="G32" s="65"/>
      <c r="H32" s="62">
        <v>10</v>
      </c>
      <c r="I32" s="63"/>
      <c r="J32" s="64">
        <v>8</v>
      </c>
      <c r="K32" s="65"/>
      <c r="L32" s="62">
        <v>8</v>
      </c>
      <c r="M32" s="63"/>
      <c r="N32" s="62">
        <v>6</v>
      </c>
      <c r="O32" s="63"/>
      <c r="P32" s="62">
        <v>9</v>
      </c>
      <c r="Q32" s="63"/>
      <c r="R32" s="62">
        <v>6</v>
      </c>
      <c r="S32" s="63"/>
      <c r="T32" s="62"/>
      <c r="U32" s="63"/>
      <c r="V32" s="62">
        <v>7</v>
      </c>
      <c r="W32" s="63"/>
      <c r="X32" s="62">
        <v>7</v>
      </c>
      <c r="Y32" s="63"/>
      <c r="Z32" s="62">
        <v>8</v>
      </c>
      <c r="AA32" s="63"/>
      <c r="AB32" s="62">
        <v>8</v>
      </c>
      <c r="AC32" s="63"/>
      <c r="AD32" s="62">
        <v>7</v>
      </c>
      <c r="AE32" s="63"/>
      <c r="AF32" s="64">
        <v>7</v>
      </c>
      <c r="AG32" s="65"/>
      <c r="AH32" s="62">
        <v>7</v>
      </c>
      <c r="AI32" s="63"/>
      <c r="AJ32" s="60">
        <f t="shared" si="0"/>
        <v>7.333333333333333</v>
      </c>
      <c r="AK32" s="61"/>
      <c r="AL32" s="11">
        <v>26</v>
      </c>
      <c r="AM32" s="11"/>
      <c r="AN32" s="11">
        <v>26</v>
      </c>
      <c r="AO32" s="11"/>
      <c r="AS32">
        <f t="shared" si="1"/>
        <v>1</v>
      </c>
      <c r="AT32">
        <f t="shared" si="2"/>
        <v>11</v>
      </c>
      <c r="AU32">
        <f t="shared" si="3"/>
        <v>3</v>
      </c>
      <c r="AV32">
        <f t="shared" si="4"/>
        <v>0</v>
      </c>
      <c r="AW32"/>
      <c r="AX32" t="str">
        <f t="shared" si="6"/>
        <v>ЗДВ</v>
      </c>
    </row>
    <row r="33" spans="1:50" s="7" customFormat="1" ht="15.75" customHeight="1" thickBot="1" x14ac:dyDescent="0.25">
      <c r="A33" s="19">
        <v>25</v>
      </c>
      <c r="B33" s="52" t="s">
        <v>52</v>
      </c>
      <c r="C33" s="55" t="s">
        <v>80</v>
      </c>
      <c r="D33" s="72">
        <v>8</v>
      </c>
      <c r="E33" s="73"/>
      <c r="F33" s="64">
        <v>7</v>
      </c>
      <c r="G33" s="65"/>
      <c r="H33" s="62">
        <v>9</v>
      </c>
      <c r="I33" s="63"/>
      <c r="J33" s="64">
        <v>9</v>
      </c>
      <c r="K33" s="65"/>
      <c r="L33" s="62">
        <v>9</v>
      </c>
      <c r="M33" s="63"/>
      <c r="N33" s="62">
        <v>7</v>
      </c>
      <c r="O33" s="63"/>
      <c r="P33" s="62">
        <v>10</v>
      </c>
      <c r="Q33" s="63"/>
      <c r="R33" s="62">
        <v>8</v>
      </c>
      <c r="S33" s="63"/>
      <c r="T33" s="62"/>
      <c r="U33" s="63"/>
      <c r="V33" s="62">
        <v>8</v>
      </c>
      <c r="W33" s="63"/>
      <c r="X33" s="62">
        <v>8</v>
      </c>
      <c r="Y33" s="63"/>
      <c r="Z33" s="62">
        <v>9</v>
      </c>
      <c r="AA33" s="63"/>
      <c r="AB33" s="62">
        <v>8</v>
      </c>
      <c r="AC33" s="63"/>
      <c r="AD33" s="62">
        <v>7</v>
      </c>
      <c r="AE33" s="63"/>
      <c r="AF33" s="64">
        <v>8</v>
      </c>
      <c r="AG33" s="65"/>
      <c r="AH33" s="62">
        <v>10</v>
      </c>
      <c r="AI33" s="63"/>
      <c r="AJ33" s="60">
        <f t="shared" si="0"/>
        <v>8.3333333333333339</v>
      </c>
      <c r="AK33" s="61"/>
      <c r="AL33" s="11"/>
      <c r="AM33" s="11"/>
      <c r="AN33" s="11"/>
      <c r="AO33" s="11"/>
      <c r="AS33">
        <f t="shared" si="1"/>
        <v>2</v>
      </c>
      <c r="AT33">
        <f t="shared" si="2"/>
        <v>13</v>
      </c>
      <c r="AU33">
        <f t="shared" si="3"/>
        <v>0</v>
      </c>
      <c r="AV33">
        <f t="shared" si="4"/>
        <v>0</v>
      </c>
      <c r="AW33"/>
      <c r="AX33" t="str">
        <f t="shared" si="6"/>
        <v>ДВ</v>
      </c>
    </row>
    <row r="34" spans="1:50" s="7" customFormat="1" ht="16.5" customHeight="1" thickBot="1" x14ac:dyDescent="0.25">
      <c r="A34" s="19">
        <v>26</v>
      </c>
      <c r="B34" s="52" t="s">
        <v>52</v>
      </c>
      <c r="C34" s="55" t="s">
        <v>81</v>
      </c>
      <c r="D34" s="72">
        <v>6</v>
      </c>
      <c r="E34" s="73"/>
      <c r="F34" s="64">
        <v>5</v>
      </c>
      <c r="G34" s="65"/>
      <c r="H34" s="62">
        <v>8</v>
      </c>
      <c r="I34" s="63"/>
      <c r="J34" s="64">
        <v>9</v>
      </c>
      <c r="K34" s="65"/>
      <c r="L34" s="62">
        <v>8</v>
      </c>
      <c r="M34" s="63"/>
      <c r="N34" s="62">
        <v>6</v>
      </c>
      <c r="O34" s="63"/>
      <c r="P34" s="62">
        <v>8</v>
      </c>
      <c r="Q34" s="63"/>
      <c r="R34" s="62">
        <v>7</v>
      </c>
      <c r="S34" s="63"/>
      <c r="T34" s="62"/>
      <c r="U34" s="63"/>
      <c r="V34" s="62">
        <v>8</v>
      </c>
      <c r="W34" s="63"/>
      <c r="X34" s="62">
        <v>8</v>
      </c>
      <c r="Y34" s="63"/>
      <c r="Z34" s="62">
        <v>9</v>
      </c>
      <c r="AA34" s="63"/>
      <c r="AB34" s="62">
        <v>8</v>
      </c>
      <c r="AC34" s="63"/>
      <c r="AD34" s="62">
        <v>7</v>
      </c>
      <c r="AE34" s="63"/>
      <c r="AF34" s="64">
        <v>6</v>
      </c>
      <c r="AG34" s="65"/>
      <c r="AH34" s="62">
        <v>8</v>
      </c>
      <c r="AI34" s="63"/>
      <c r="AJ34" s="60">
        <f t="shared" si="0"/>
        <v>7.4</v>
      </c>
      <c r="AK34" s="61"/>
      <c r="AL34" s="11"/>
      <c r="AM34" s="11"/>
      <c r="AN34" s="11"/>
      <c r="AO34" s="11"/>
      <c r="AS34">
        <f t="shared" si="1"/>
        <v>0</v>
      </c>
      <c r="AT34">
        <f t="shared" si="2"/>
        <v>11</v>
      </c>
      <c r="AU34">
        <f t="shared" si="3"/>
        <v>4</v>
      </c>
      <c r="AV34">
        <f t="shared" si="4"/>
        <v>0</v>
      </c>
      <c r="AW34"/>
      <c r="AX34" t="str">
        <f t="shared" si="6"/>
        <v>ЗД</v>
      </c>
    </row>
    <row r="35" spans="1:50" s="7" customFormat="1" ht="16.5" customHeight="1" thickBot="1" x14ac:dyDescent="0.25">
      <c r="A35" s="19">
        <v>27</v>
      </c>
      <c r="B35" s="52" t="s">
        <v>52</v>
      </c>
      <c r="C35" s="55" t="s">
        <v>82</v>
      </c>
      <c r="D35" s="72">
        <v>10</v>
      </c>
      <c r="E35" s="73"/>
      <c r="F35" s="64">
        <v>10</v>
      </c>
      <c r="G35" s="65"/>
      <c r="H35" s="62">
        <v>9</v>
      </c>
      <c r="I35" s="63"/>
      <c r="J35" s="64">
        <v>10</v>
      </c>
      <c r="K35" s="65"/>
      <c r="L35" s="62">
        <v>11</v>
      </c>
      <c r="M35" s="63"/>
      <c r="N35" s="62">
        <v>11</v>
      </c>
      <c r="O35" s="63"/>
      <c r="P35" s="62">
        <v>11</v>
      </c>
      <c r="Q35" s="63"/>
      <c r="R35" s="62">
        <v>10</v>
      </c>
      <c r="S35" s="63"/>
      <c r="T35" s="62"/>
      <c r="U35" s="63"/>
      <c r="V35" s="62">
        <v>10</v>
      </c>
      <c r="W35" s="63"/>
      <c r="X35" s="62">
        <v>10</v>
      </c>
      <c r="Y35" s="63"/>
      <c r="Z35" s="62">
        <v>10</v>
      </c>
      <c r="AA35" s="63"/>
      <c r="AB35" s="62">
        <v>9</v>
      </c>
      <c r="AC35" s="63"/>
      <c r="AD35" s="62">
        <v>10</v>
      </c>
      <c r="AE35" s="63"/>
      <c r="AF35" s="64">
        <v>10</v>
      </c>
      <c r="AG35" s="65"/>
      <c r="AH35" s="62">
        <v>10</v>
      </c>
      <c r="AI35" s="63"/>
      <c r="AJ35" s="60">
        <f t="shared" si="0"/>
        <v>10.066666666666666</v>
      </c>
      <c r="AK35" s="61"/>
      <c r="AL35" s="11"/>
      <c r="AM35" s="11"/>
      <c r="AN35" s="11"/>
      <c r="AO35" s="11"/>
      <c r="AS35">
        <f t="shared" si="1"/>
        <v>13</v>
      </c>
      <c r="AT35">
        <f t="shared" si="2"/>
        <v>2</v>
      </c>
      <c r="AU35">
        <f t="shared" si="3"/>
        <v>0</v>
      </c>
      <c r="AV35">
        <f t="shared" si="4"/>
        <v>0</v>
      </c>
      <c r="AW35"/>
      <c r="AX35" t="str">
        <f t="shared" si="6"/>
        <v>ДВ</v>
      </c>
    </row>
    <row r="36" spans="1:50" s="7" customFormat="1" ht="16.5" customHeight="1" thickBot="1" x14ac:dyDescent="0.25">
      <c r="A36" s="19">
        <v>28</v>
      </c>
      <c r="B36" s="52" t="s">
        <v>52</v>
      </c>
      <c r="C36" s="56" t="s">
        <v>83</v>
      </c>
      <c r="D36" s="72">
        <v>8</v>
      </c>
      <c r="E36" s="73"/>
      <c r="F36" s="72">
        <v>7</v>
      </c>
      <c r="G36" s="73"/>
      <c r="H36" s="72">
        <v>10</v>
      </c>
      <c r="I36" s="73"/>
      <c r="J36" s="72">
        <v>9</v>
      </c>
      <c r="K36" s="73"/>
      <c r="L36" s="72">
        <v>8</v>
      </c>
      <c r="M36" s="73"/>
      <c r="N36" s="72">
        <v>8</v>
      </c>
      <c r="O36" s="73"/>
      <c r="P36" s="72">
        <v>9</v>
      </c>
      <c r="Q36" s="73"/>
      <c r="R36" s="72">
        <v>8</v>
      </c>
      <c r="S36" s="73"/>
      <c r="T36" s="24"/>
      <c r="U36" s="9"/>
      <c r="V36" s="72">
        <v>8</v>
      </c>
      <c r="W36" s="73"/>
      <c r="X36" s="72">
        <v>8</v>
      </c>
      <c r="Y36" s="73"/>
      <c r="Z36" s="72">
        <v>8</v>
      </c>
      <c r="AA36" s="73"/>
      <c r="AB36" s="72">
        <v>8</v>
      </c>
      <c r="AC36" s="73"/>
      <c r="AD36" s="72">
        <v>7</v>
      </c>
      <c r="AE36" s="73"/>
      <c r="AF36" s="72">
        <v>7</v>
      </c>
      <c r="AG36" s="73"/>
      <c r="AH36" s="72">
        <v>9</v>
      </c>
      <c r="AI36" s="73"/>
      <c r="AJ36" s="60">
        <f t="shared" si="0"/>
        <v>8.1333333333333329</v>
      </c>
      <c r="AK36" s="61"/>
      <c r="AL36" s="11">
        <v>12</v>
      </c>
      <c r="AM36" s="11"/>
      <c r="AN36" s="11">
        <v>12</v>
      </c>
      <c r="AO36" s="11"/>
      <c r="AS36">
        <f t="shared" si="1"/>
        <v>1</v>
      </c>
      <c r="AT36">
        <f t="shared" si="2"/>
        <v>14</v>
      </c>
      <c r="AU36">
        <f t="shared" si="3"/>
        <v>0</v>
      </c>
      <c r="AV36">
        <f t="shared" si="4"/>
        <v>0</v>
      </c>
      <c r="AW36"/>
      <c r="AX36" t="str">
        <f t="shared" si="6"/>
        <v>ДВ</v>
      </c>
    </row>
    <row r="37" spans="1:50" s="7" customFormat="1" ht="16.5" customHeight="1" thickBot="1" x14ac:dyDescent="0.25">
      <c r="A37" s="19">
        <v>29</v>
      </c>
      <c r="B37" s="52" t="s">
        <v>52</v>
      </c>
      <c r="C37" s="55" t="s">
        <v>84</v>
      </c>
      <c r="D37" s="72">
        <v>8</v>
      </c>
      <c r="E37" s="73"/>
      <c r="F37" s="72">
        <v>7</v>
      </c>
      <c r="G37" s="73"/>
      <c r="H37" s="72">
        <v>8</v>
      </c>
      <c r="I37" s="73"/>
      <c r="J37" s="72">
        <v>9</v>
      </c>
      <c r="K37" s="73"/>
      <c r="L37" s="72">
        <v>9</v>
      </c>
      <c r="M37" s="73"/>
      <c r="N37" s="72">
        <v>7</v>
      </c>
      <c r="O37" s="73"/>
      <c r="P37" s="72">
        <v>10</v>
      </c>
      <c r="Q37" s="73"/>
      <c r="R37" s="72">
        <v>9</v>
      </c>
      <c r="S37" s="73"/>
      <c r="T37" s="24"/>
      <c r="U37" s="9"/>
      <c r="V37" s="72">
        <v>9</v>
      </c>
      <c r="W37" s="73"/>
      <c r="X37" s="72">
        <v>9</v>
      </c>
      <c r="Y37" s="73"/>
      <c r="Z37" s="72">
        <v>9</v>
      </c>
      <c r="AA37" s="73"/>
      <c r="AB37" s="72">
        <v>8</v>
      </c>
      <c r="AC37" s="73"/>
      <c r="AD37" s="72">
        <v>8</v>
      </c>
      <c r="AE37" s="73"/>
      <c r="AF37" s="72">
        <v>7</v>
      </c>
      <c r="AG37" s="73"/>
      <c r="AH37" s="72">
        <v>8</v>
      </c>
      <c r="AI37" s="73"/>
      <c r="AJ37" s="60">
        <f t="shared" si="0"/>
        <v>8.3333333333333339</v>
      </c>
      <c r="AK37" s="61"/>
      <c r="AL37" s="11"/>
      <c r="AM37" s="11"/>
      <c r="AN37" s="11"/>
      <c r="AO37" s="11"/>
      <c r="AS37">
        <f t="shared" si="1"/>
        <v>1</v>
      </c>
      <c r="AT37">
        <f t="shared" si="2"/>
        <v>14</v>
      </c>
      <c r="AU37">
        <f t="shared" si="3"/>
        <v>0</v>
      </c>
      <c r="AV37">
        <f t="shared" si="4"/>
        <v>0</v>
      </c>
      <c r="AW37"/>
      <c r="AX37" t="str">
        <f t="shared" si="6"/>
        <v>ДВ</v>
      </c>
    </row>
    <row r="38" spans="1:50" s="7" customFormat="1" ht="16.5" customHeight="1" thickBot="1" x14ac:dyDescent="0.25">
      <c r="A38" s="19">
        <v>30</v>
      </c>
      <c r="B38" s="52" t="s">
        <v>52</v>
      </c>
      <c r="C38" s="55" t="s">
        <v>85</v>
      </c>
      <c r="D38" s="92">
        <v>9</v>
      </c>
      <c r="E38" s="93"/>
      <c r="F38" s="92">
        <v>7</v>
      </c>
      <c r="G38" s="93"/>
      <c r="H38" s="92">
        <v>9</v>
      </c>
      <c r="I38" s="93"/>
      <c r="J38" s="92">
        <v>10</v>
      </c>
      <c r="K38" s="93"/>
      <c r="L38" s="92">
        <v>10</v>
      </c>
      <c r="M38" s="93"/>
      <c r="N38" s="92">
        <v>7</v>
      </c>
      <c r="O38" s="93"/>
      <c r="P38" s="208" t="s">
        <v>87</v>
      </c>
      <c r="Q38" s="93"/>
      <c r="R38" s="92">
        <v>9</v>
      </c>
      <c r="S38" s="93"/>
      <c r="T38" s="24"/>
      <c r="U38" s="9"/>
      <c r="V38" s="92">
        <v>8</v>
      </c>
      <c r="W38" s="93"/>
      <c r="X38" s="92">
        <v>9</v>
      </c>
      <c r="Y38" s="93"/>
      <c r="Z38" s="92">
        <v>9</v>
      </c>
      <c r="AA38" s="93"/>
      <c r="AB38" s="92">
        <v>8</v>
      </c>
      <c r="AC38" s="93"/>
      <c r="AD38" s="92">
        <v>9</v>
      </c>
      <c r="AE38" s="93"/>
      <c r="AF38" s="92">
        <v>7</v>
      </c>
      <c r="AG38" s="93"/>
      <c r="AH38" s="92">
        <v>9</v>
      </c>
      <c r="AI38" s="93"/>
      <c r="AJ38" s="60">
        <f t="shared" si="0"/>
        <v>8.5714285714285712</v>
      </c>
      <c r="AK38" s="61"/>
      <c r="AL38" s="11"/>
      <c r="AM38" s="11"/>
      <c r="AN38" s="11"/>
      <c r="AO38" s="11"/>
      <c r="AS38">
        <f t="shared" si="1"/>
        <v>2</v>
      </c>
      <c r="AT38">
        <f t="shared" si="2"/>
        <v>12</v>
      </c>
      <c r="AU38">
        <f t="shared" si="3"/>
        <v>0</v>
      </c>
      <c r="AV38">
        <f t="shared" si="4"/>
        <v>0</v>
      </c>
      <c r="AW38"/>
      <c r="AX38" t="str">
        <f t="shared" si="6"/>
        <v>ДВ</v>
      </c>
    </row>
    <row r="39" spans="1:50" s="7" customFormat="1" ht="15.75" customHeight="1" thickBot="1" x14ac:dyDescent="0.25">
      <c r="A39" s="19">
        <v>31</v>
      </c>
      <c r="B39" s="44"/>
      <c r="C39" s="22"/>
      <c r="D39" s="72"/>
      <c r="E39" s="73"/>
      <c r="F39" s="64"/>
      <c r="G39" s="65"/>
      <c r="H39" s="62"/>
      <c r="I39" s="63"/>
      <c r="J39" s="64"/>
      <c r="K39" s="65"/>
      <c r="L39" s="62"/>
      <c r="M39" s="63"/>
      <c r="N39" s="62"/>
      <c r="O39" s="63"/>
      <c r="P39" s="62"/>
      <c r="Q39" s="63"/>
      <c r="R39" s="62"/>
      <c r="S39" s="63"/>
      <c r="T39" s="62"/>
      <c r="U39" s="63"/>
      <c r="V39" s="62"/>
      <c r="W39" s="63"/>
      <c r="X39" s="62"/>
      <c r="Y39" s="63"/>
      <c r="Z39" s="62"/>
      <c r="AA39" s="63"/>
      <c r="AB39" s="62"/>
      <c r="AC39" s="63"/>
      <c r="AD39" s="62"/>
      <c r="AE39" s="63"/>
      <c r="AF39" s="72"/>
      <c r="AG39" s="73"/>
      <c r="AH39" s="62"/>
      <c r="AI39" s="63"/>
      <c r="AJ39" s="60">
        <f>AVERAGE(AJ9:AK38)</f>
        <v>7.726349206349207</v>
      </c>
      <c r="AK39" s="74"/>
      <c r="AL39" s="11">
        <v>286</v>
      </c>
      <c r="AM39" s="11">
        <v>132</v>
      </c>
      <c r="AN39" s="11">
        <v>154</v>
      </c>
      <c r="AO39" s="11"/>
      <c r="AS39">
        <f t="shared" si="1"/>
        <v>0</v>
      </c>
      <c r="AT39">
        <f t="shared" si="2"/>
        <v>0</v>
      </c>
      <c r="AU39">
        <f t="shared" si="3"/>
        <v>0</v>
      </c>
      <c r="AV39">
        <f t="shared" si="4"/>
        <v>0</v>
      </c>
      <c r="AW39"/>
      <c r="AX39" t="b">
        <f t="shared" si="6"/>
        <v>0</v>
      </c>
    </row>
    <row r="40" spans="1:50" ht="13.5" customHeight="1" x14ac:dyDescent="0.2">
      <c r="A40" s="205" t="s">
        <v>24</v>
      </c>
      <c r="B40" s="206"/>
      <c r="C40" s="207"/>
      <c r="D40" s="81">
        <f>COUNTIF(D9:E39,"&gt;=10")</f>
        <v>2</v>
      </c>
      <c r="E40" s="82"/>
      <c r="F40" s="81">
        <f t="shared" ref="F40" si="7">COUNTIF(F9:G39,"&gt;=10")</f>
        <v>2</v>
      </c>
      <c r="G40" s="82"/>
      <c r="H40" s="81">
        <f t="shared" ref="H40" si="8">COUNTIF(H9:I39,"&gt;=10")</f>
        <v>7</v>
      </c>
      <c r="I40" s="82"/>
      <c r="J40" s="81">
        <f t="shared" ref="J40" si="9">COUNTIF(J9:K39,"&gt;=10")</f>
        <v>5</v>
      </c>
      <c r="K40" s="82"/>
      <c r="L40" s="81">
        <f t="shared" ref="L40" si="10">COUNTIF(L9:M39,"&gt;=10")</f>
        <v>5</v>
      </c>
      <c r="M40" s="82"/>
      <c r="N40" s="81">
        <f t="shared" ref="N40" si="11">COUNTIF(N9:O39,"&gt;=10")</f>
        <v>4</v>
      </c>
      <c r="O40" s="82"/>
      <c r="P40" s="81">
        <f t="shared" ref="P40" si="12">COUNTIF(P9:Q39,"&gt;=10")</f>
        <v>7</v>
      </c>
      <c r="Q40" s="82"/>
      <c r="R40" s="81">
        <f t="shared" ref="R40" si="13">COUNTIF(R9:S39,"&gt;=10")</f>
        <v>3</v>
      </c>
      <c r="S40" s="82"/>
      <c r="T40" s="81">
        <f t="shared" ref="T40" si="14">COUNTIF(T9:U39,"&gt;=10")</f>
        <v>0</v>
      </c>
      <c r="U40" s="82"/>
      <c r="V40" s="81">
        <f t="shared" ref="V40" si="15">COUNTIF(V9:W39,"&gt;=10")</f>
        <v>2</v>
      </c>
      <c r="W40" s="82"/>
      <c r="X40" s="81">
        <f t="shared" ref="X40" si="16">COUNTIF(X9:Y39,"&gt;=10")</f>
        <v>3</v>
      </c>
      <c r="Y40" s="82"/>
      <c r="Z40" s="81">
        <f t="shared" ref="Z40" si="17">COUNTIF(Z9:AA39,"&gt;=10")</f>
        <v>3</v>
      </c>
      <c r="AA40" s="82"/>
      <c r="AB40" s="81">
        <f t="shared" ref="AB40" si="18">COUNTIF(AB9:AC39,"&gt;=10")</f>
        <v>0</v>
      </c>
      <c r="AC40" s="82"/>
      <c r="AD40" s="81">
        <f t="shared" ref="AD40" si="19">COUNTIF(AD9:AE39,"&gt;=10")</f>
        <v>3</v>
      </c>
      <c r="AE40" s="82"/>
      <c r="AF40" s="81">
        <f t="shared" ref="AF40" si="20">COUNTIF(AF9:AG39,"&gt;=10")</f>
        <v>2</v>
      </c>
      <c r="AG40" s="82"/>
      <c r="AH40" s="81">
        <f t="shared" ref="AH40" si="21">COUNTIF(AH9:AI39,"&gt;=10")</f>
        <v>6</v>
      </c>
      <c r="AI40" s="82"/>
      <c r="AJ40" s="125"/>
      <c r="AK40" s="63"/>
      <c r="AL40" s="3"/>
      <c r="AM40" s="13"/>
      <c r="AN40" s="13"/>
      <c r="AO40" s="6"/>
    </row>
    <row r="41" spans="1:50" ht="14.25" customHeight="1" x14ac:dyDescent="0.2">
      <c r="A41" s="89" t="s">
        <v>25</v>
      </c>
      <c r="B41" s="90"/>
      <c r="C41" s="182"/>
      <c r="D41" s="75">
        <f>COUNTIFS(D9:E39,"&gt;6",D9:E39,"&lt;10")</f>
        <v>18</v>
      </c>
      <c r="E41" s="76"/>
      <c r="F41" s="75">
        <f t="shared" ref="F41" si="22">COUNTIFS(F9:G39,"&gt;6",F9:G39,"&lt;10")</f>
        <v>10</v>
      </c>
      <c r="G41" s="76"/>
      <c r="H41" s="75">
        <f t="shared" ref="H41" si="23">COUNTIFS(H9:I39,"&gt;6",H9:I39,"&lt;10")</f>
        <v>23</v>
      </c>
      <c r="I41" s="76"/>
      <c r="J41" s="75">
        <f t="shared" ref="J41" si="24">COUNTIFS(J9:K39,"&gt;6",J9:K39,"&lt;10")</f>
        <v>22</v>
      </c>
      <c r="K41" s="76"/>
      <c r="L41" s="75">
        <f t="shared" ref="L41" si="25">COUNTIFS(L9:M39,"&gt;6",L9:M39,"&lt;10")</f>
        <v>22</v>
      </c>
      <c r="M41" s="76"/>
      <c r="N41" s="75">
        <f t="shared" ref="N41" si="26">COUNTIFS(N9:O39,"&gt;6",N9:O39,"&lt;10")</f>
        <v>14</v>
      </c>
      <c r="O41" s="76"/>
      <c r="P41" s="75">
        <f t="shared" ref="P41" si="27">COUNTIFS(P9:Q39,"&gt;6",P9:Q39,"&lt;10")</f>
        <v>15</v>
      </c>
      <c r="Q41" s="76"/>
      <c r="R41" s="75">
        <f t="shared" ref="R41" si="28">COUNTIFS(R9:S39,"&gt;6",R9:S39,"&lt;10")</f>
        <v>19</v>
      </c>
      <c r="S41" s="76"/>
      <c r="T41" s="75">
        <f t="shared" ref="T41" si="29">COUNTIFS(T9:U39,"&gt;6",T9:U39,"&lt;10")</f>
        <v>0</v>
      </c>
      <c r="U41" s="76"/>
      <c r="V41" s="75">
        <f t="shared" ref="V41" si="30">COUNTIFS(V9:W39,"&gt;6",V9:W39,"&lt;10")</f>
        <v>24</v>
      </c>
      <c r="W41" s="76"/>
      <c r="X41" s="75">
        <f t="shared" ref="X41" si="31">COUNTIFS(X9:Y39,"&gt;6",X9:Y39,"&lt;10")</f>
        <v>22</v>
      </c>
      <c r="Y41" s="76"/>
      <c r="Z41" s="75">
        <f t="shared" ref="Z41" si="32">COUNTIFS(Z9:AA39,"&gt;6",Z9:AA39,"&lt;10")</f>
        <v>25</v>
      </c>
      <c r="AA41" s="76"/>
      <c r="AB41" s="75">
        <f t="shared" ref="AB41" si="33">COUNTIFS(AB9:AC39,"&gt;6",AB9:AC39,"&lt;10")</f>
        <v>27</v>
      </c>
      <c r="AC41" s="76"/>
      <c r="AD41" s="75">
        <f t="shared" ref="AD41" si="34">COUNTIFS(AD9:AE39,"&gt;6",AD9:AE39,"&lt;10")</f>
        <v>22</v>
      </c>
      <c r="AE41" s="76"/>
      <c r="AF41" s="75">
        <f t="shared" ref="AF41" si="35">COUNTIFS(AF9:AG39,"&gt;6",AF9:AG39,"&lt;10")</f>
        <v>17</v>
      </c>
      <c r="AG41" s="76"/>
      <c r="AH41" s="75">
        <f t="shared" ref="AH41" si="36">COUNTIFS(AH9:AI39,"&gt;6",AH9:AI39,"&lt;10")</f>
        <v>21</v>
      </c>
      <c r="AI41" s="76"/>
      <c r="AJ41" s="77"/>
      <c r="AK41" s="78"/>
      <c r="AL41" s="14"/>
      <c r="AM41" s="14"/>
      <c r="AN41" s="14"/>
      <c r="AO41" s="14"/>
    </row>
    <row r="42" spans="1:50" ht="14.25" customHeight="1" x14ac:dyDescent="0.2">
      <c r="A42" s="89" t="s">
        <v>26</v>
      </c>
      <c r="B42" s="90"/>
      <c r="C42" s="91"/>
      <c r="D42" s="75">
        <f>COUNTIFS(D9:E39,"&gt;3",D9:E39,"&lt;7")</f>
        <v>10</v>
      </c>
      <c r="E42" s="76"/>
      <c r="F42" s="75">
        <f t="shared" ref="F42" si="37">COUNTIFS(F9:G39,"&gt;3",F9:G39,"&lt;7")</f>
        <v>18</v>
      </c>
      <c r="G42" s="76"/>
      <c r="H42" s="75">
        <f t="shared" ref="H42" si="38">COUNTIFS(H9:I39,"&gt;3",H9:I39,"&lt;7")</f>
        <v>0</v>
      </c>
      <c r="I42" s="76"/>
      <c r="J42" s="75">
        <f t="shared" ref="J42" si="39">COUNTIFS(J9:K39,"&gt;3",J9:K39,"&lt;7")</f>
        <v>3</v>
      </c>
      <c r="K42" s="76"/>
      <c r="L42" s="75">
        <f t="shared" ref="L42" si="40">COUNTIFS(L9:M39,"&gt;3",L9:M39,"&lt;7")</f>
        <v>3</v>
      </c>
      <c r="M42" s="76"/>
      <c r="N42" s="75">
        <f t="shared" ref="N42" si="41">COUNTIFS(N9:O39,"&gt;3",N9:O39,"&lt;7")</f>
        <v>12</v>
      </c>
      <c r="O42" s="76"/>
      <c r="P42" s="75">
        <f t="shared" ref="P42" si="42">COUNTIFS(P9:Q39,"&gt;3",P9:Q39,"&lt;7")</f>
        <v>2</v>
      </c>
      <c r="Q42" s="76"/>
      <c r="R42" s="75">
        <f t="shared" ref="R42" si="43">COUNTIFS(R9:S39,"&gt;3",R9:S39,"&lt;7")</f>
        <v>8</v>
      </c>
      <c r="S42" s="76"/>
      <c r="T42" s="75">
        <f t="shared" ref="T42" si="44">COUNTIFS(T9:U39,"&gt;3",T9:U39,"&lt;7")</f>
        <v>0</v>
      </c>
      <c r="U42" s="76"/>
      <c r="V42" s="75">
        <f t="shared" ref="V42" si="45">COUNTIFS(V9:W39,"&gt;3",V9:W39,"&lt;7")</f>
        <v>4</v>
      </c>
      <c r="W42" s="76"/>
      <c r="X42" s="75">
        <f t="shared" ref="X42" si="46">COUNTIFS(X9:Y39,"&gt;3",X9:Y39,"&lt;7")</f>
        <v>5</v>
      </c>
      <c r="Y42" s="76"/>
      <c r="Z42" s="75">
        <f t="shared" ref="Z42" si="47">COUNTIFS(Z9:AA39,"&gt;3",Z9:AA39,"&lt;7")</f>
        <v>2</v>
      </c>
      <c r="AA42" s="76"/>
      <c r="AB42" s="75">
        <f t="shared" ref="AB42" si="48">COUNTIFS(AB9:AC39,"&gt;3",AB9:AC39,"&lt;7")</f>
        <v>3</v>
      </c>
      <c r="AC42" s="76"/>
      <c r="AD42" s="75">
        <f t="shared" ref="AD42" si="49">COUNTIFS(AD9:AE39,"&gt;3",AD9:AE39,"&lt;7")</f>
        <v>5</v>
      </c>
      <c r="AE42" s="76"/>
      <c r="AF42" s="75">
        <f t="shared" ref="AF42" si="50">COUNTIFS(AF9:AG39,"&gt;3",AF9:AG39,"&lt;7")</f>
        <v>11</v>
      </c>
      <c r="AG42" s="76"/>
      <c r="AH42" s="75">
        <f t="shared" ref="AH42" si="51">COUNTIFS(AH9:AI39,"&gt;3",AH9:AI39,"&lt;7")</f>
        <v>3</v>
      </c>
      <c r="AI42" s="76"/>
      <c r="AJ42" s="77"/>
      <c r="AK42" s="78"/>
      <c r="AL42" s="15"/>
      <c r="AM42" s="14"/>
      <c r="AN42" s="14"/>
      <c r="AO42" s="16"/>
    </row>
    <row r="43" spans="1:50" ht="14.25" customHeight="1" x14ac:dyDescent="0.2">
      <c r="A43" s="89" t="s">
        <v>27</v>
      </c>
      <c r="B43" s="90"/>
      <c r="C43" s="91"/>
      <c r="D43" s="75">
        <f>COUNTIF(D9:E39,"&lt;=3")</f>
        <v>0</v>
      </c>
      <c r="E43" s="76"/>
      <c r="F43" s="75">
        <f t="shared" ref="F43" si="52">COUNTIF(F9:G39,"&lt;=3")</f>
        <v>0</v>
      </c>
      <c r="G43" s="76"/>
      <c r="H43" s="75">
        <f t="shared" ref="H43" si="53">COUNTIF(H9:I39,"&lt;=3")</f>
        <v>0</v>
      </c>
      <c r="I43" s="76"/>
      <c r="J43" s="75">
        <f t="shared" ref="J43" si="54">COUNTIF(J9:K39,"&lt;=3")</f>
        <v>0</v>
      </c>
      <c r="K43" s="76"/>
      <c r="L43" s="75">
        <f t="shared" ref="L43" si="55">COUNTIF(L9:M39,"&lt;=3")</f>
        <v>0</v>
      </c>
      <c r="M43" s="76"/>
      <c r="N43" s="75">
        <f t="shared" ref="N43" si="56">COUNTIF(N9:O39,"&lt;=3")</f>
        <v>0</v>
      </c>
      <c r="O43" s="76"/>
      <c r="P43" s="75">
        <f t="shared" ref="P43" si="57">COUNTIF(P9:Q39,"&lt;=3")</f>
        <v>0</v>
      </c>
      <c r="Q43" s="76"/>
      <c r="R43" s="75">
        <f t="shared" ref="R43" si="58">COUNTIF(R9:S39,"&lt;=3")</f>
        <v>0</v>
      </c>
      <c r="S43" s="76"/>
      <c r="T43" s="75">
        <f t="shared" ref="T43" si="59">COUNTIF(T9:U39,"&lt;=3")</f>
        <v>0</v>
      </c>
      <c r="U43" s="76"/>
      <c r="V43" s="75">
        <f t="shared" ref="V43" si="60">COUNTIF(V9:W39,"&lt;=3")</f>
        <v>0</v>
      </c>
      <c r="W43" s="76"/>
      <c r="X43" s="75">
        <f t="shared" ref="X43" si="61">COUNTIF(X9:Y39,"&lt;=3")</f>
        <v>0</v>
      </c>
      <c r="Y43" s="76"/>
      <c r="Z43" s="75">
        <f t="shared" ref="Z43" si="62">COUNTIF(Z9:AA39,"&lt;=3")</f>
        <v>0</v>
      </c>
      <c r="AA43" s="76"/>
      <c r="AB43" s="75">
        <f t="shared" ref="AB43" si="63">COUNTIF(AB9:AC39,"&lt;=3")</f>
        <v>0</v>
      </c>
      <c r="AC43" s="76"/>
      <c r="AD43" s="75">
        <f t="shared" ref="AD43" si="64">COUNTIF(AD9:AE39,"&lt;=3")</f>
        <v>0</v>
      </c>
      <c r="AE43" s="76"/>
      <c r="AF43" s="75">
        <f t="shared" ref="AF43" si="65">COUNTIF(AF9:AG39,"&lt;=3")</f>
        <v>0</v>
      </c>
      <c r="AG43" s="76"/>
      <c r="AH43" s="75">
        <f t="shared" ref="AH43" si="66">COUNTIF(AH9:AI39,"&lt;=3")</f>
        <v>0</v>
      </c>
      <c r="AI43" s="76"/>
      <c r="AJ43" s="77"/>
      <c r="AK43" s="78"/>
      <c r="AL43" s="15"/>
      <c r="AM43" s="14"/>
      <c r="AN43" s="21"/>
      <c r="AO43" s="16"/>
    </row>
    <row r="44" spans="1:50" ht="12.75" customHeight="1" x14ac:dyDescent="0.2">
      <c r="A44" s="84" t="s">
        <v>1</v>
      </c>
      <c r="B44" s="85"/>
      <c r="C44" s="86"/>
      <c r="D44" s="75"/>
      <c r="E44" s="76"/>
      <c r="F44" s="87"/>
      <c r="G44" s="88"/>
      <c r="H44" s="87"/>
      <c r="I44" s="88"/>
      <c r="J44" s="87"/>
      <c r="K44" s="88"/>
      <c r="L44" s="87"/>
      <c r="M44" s="88"/>
      <c r="N44" s="94"/>
      <c r="O44" s="78"/>
      <c r="P44" s="94"/>
      <c r="Q44" s="78"/>
      <c r="R44" s="87"/>
      <c r="S44" s="88"/>
      <c r="T44" s="87"/>
      <c r="U44" s="88"/>
      <c r="V44" s="87"/>
      <c r="W44" s="88"/>
      <c r="X44" s="87"/>
      <c r="Y44" s="88"/>
      <c r="Z44" s="87"/>
      <c r="AA44" s="88"/>
      <c r="AB44" s="87"/>
      <c r="AC44" s="88"/>
      <c r="AD44" s="77"/>
      <c r="AE44" s="78"/>
      <c r="AF44" s="87"/>
      <c r="AG44" s="88"/>
      <c r="AH44" s="94"/>
      <c r="AI44" s="78"/>
      <c r="AJ44" s="77"/>
      <c r="AK44" s="78"/>
      <c r="AL44" s="15"/>
      <c r="AM44" s="14"/>
      <c r="AN44" s="14"/>
      <c r="AO44" s="16"/>
    </row>
    <row r="45" spans="1:50" ht="15" customHeight="1" thickBot="1" x14ac:dyDescent="0.25">
      <c r="A45" s="108" t="s">
        <v>2</v>
      </c>
      <c r="B45" s="109"/>
      <c r="C45" s="109"/>
      <c r="D45" s="79">
        <f>AVERAGE(D9:E39)</f>
        <v>7.166666666666667</v>
      </c>
      <c r="E45" s="80"/>
      <c r="F45" s="79">
        <f t="shared" ref="F45" si="67">AVERAGE(F9:G39)</f>
        <v>6.2</v>
      </c>
      <c r="G45" s="80"/>
      <c r="H45" s="79">
        <f t="shared" ref="H45" si="68">AVERAGE(H9:I39)</f>
        <v>8.6666666666666661</v>
      </c>
      <c r="I45" s="80"/>
      <c r="J45" s="79">
        <f t="shared" ref="J45" si="69">AVERAGE(J9:K39)</f>
        <v>8.1666666666666661</v>
      </c>
      <c r="K45" s="80"/>
      <c r="L45" s="79">
        <f t="shared" ref="L45" si="70">AVERAGE(L9:M39)</f>
        <v>8.2333333333333325</v>
      </c>
      <c r="M45" s="80"/>
      <c r="N45" s="79">
        <f t="shared" ref="N45" si="71">AVERAGE(N9:O39)</f>
        <v>7.2666666666666666</v>
      </c>
      <c r="O45" s="80"/>
      <c r="P45" s="79">
        <f t="shared" ref="P45" si="72">AVERAGE(P9:Q39)</f>
        <v>8.6666666666666661</v>
      </c>
      <c r="Q45" s="80"/>
      <c r="R45" s="79">
        <f t="shared" ref="R45" si="73">AVERAGE(R9:S39)</f>
        <v>7.4666666666666668</v>
      </c>
      <c r="S45" s="80"/>
      <c r="T45" s="79" t="e">
        <f t="shared" ref="T45" si="74">AVERAGE(T9:U39)</f>
        <v>#DIV/0!</v>
      </c>
      <c r="U45" s="80"/>
      <c r="V45" s="79">
        <f t="shared" ref="V45" si="75">AVERAGE(V9:W39)</f>
        <v>7.8</v>
      </c>
      <c r="W45" s="80"/>
      <c r="X45" s="79">
        <f t="shared" ref="X45" si="76">AVERAGE(X9:Y39)</f>
        <v>7.8</v>
      </c>
      <c r="Y45" s="80"/>
      <c r="Z45" s="79">
        <f t="shared" ref="Z45" si="77">AVERAGE(Z9:AA39)</f>
        <v>8.1</v>
      </c>
      <c r="AA45" s="80"/>
      <c r="AB45" s="79">
        <f t="shared" ref="AB45" si="78">AVERAGE(AB9:AC39)</f>
        <v>7.666666666666667</v>
      </c>
      <c r="AC45" s="80"/>
      <c r="AD45" s="79">
        <f t="shared" ref="AD45" si="79">AVERAGE(AD9:AE39)</f>
        <v>7.666666666666667</v>
      </c>
      <c r="AE45" s="80"/>
      <c r="AF45" s="79">
        <f t="shared" ref="AF45" si="80">AVERAGE(AF9:AG39)</f>
        <v>7.0666666666666664</v>
      </c>
      <c r="AG45" s="80"/>
      <c r="AH45" s="79">
        <f t="shared" ref="AH45" si="81">AVERAGE(AH9:AI39)</f>
        <v>8.2666666666666675</v>
      </c>
      <c r="AI45" s="80"/>
      <c r="AJ45" s="201"/>
      <c r="AK45" s="202"/>
      <c r="AL45" s="15"/>
      <c r="AM45" s="14"/>
      <c r="AN45" s="14"/>
      <c r="AO45" s="16"/>
    </row>
    <row r="46" spans="1:50" ht="14.25" customHeight="1" thickBot="1" x14ac:dyDescent="0.25">
      <c r="A46" s="119" t="s">
        <v>3</v>
      </c>
      <c r="B46" s="203"/>
      <c r="C46" s="203"/>
      <c r="D46" s="203"/>
      <c r="E46" s="203"/>
      <c r="F46" s="203"/>
      <c r="G46" s="203"/>
      <c r="H46" s="203"/>
      <c r="I46" s="203"/>
      <c r="J46" s="203"/>
      <c r="K46" s="203"/>
      <c r="L46" s="203"/>
      <c r="M46" s="203"/>
      <c r="N46" s="203"/>
      <c r="O46" s="203"/>
      <c r="P46" s="203"/>
      <c r="Q46" s="203"/>
      <c r="R46" s="203"/>
      <c r="S46" s="203"/>
      <c r="T46" s="203"/>
      <c r="U46" s="203"/>
      <c r="V46" s="203"/>
      <c r="W46" s="203"/>
      <c r="X46" s="203"/>
      <c r="Y46" s="203"/>
      <c r="Z46" s="203"/>
      <c r="AA46" s="203"/>
      <c r="AB46" s="203"/>
      <c r="AC46" s="203"/>
      <c r="AD46" s="203"/>
      <c r="AE46" s="203"/>
      <c r="AF46" s="203"/>
      <c r="AG46" s="203"/>
      <c r="AH46" s="203"/>
      <c r="AI46" s="203"/>
      <c r="AJ46" s="203"/>
      <c r="AK46" s="203"/>
      <c r="AL46" s="203"/>
      <c r="AM46" s="203"/>
      <c r="AN46" s="203"/>
      <c r="AO46" s="204"/>
    </row>
    <row r="47" spans="1:50" ht="14.25" customHeight="1" x14ac:dyDescent="0.2">
      <c r="A47" s="98" t="s">
        <v>11</v>
      </c>
      <c r="B47" s="99"/>
      <c r="C47" s="100"/>
      <c r="D47" s="104" t="s">
        <v>10</v>
      </c>
      <c r="E47" s="104"/>
      <c r="F47" s="104"/>
      <c r="G47" s="104"/>
      <c r="H47" s="104"/>
      <c r="I47" s="104"/>
      <c r="J47" s="104"/>
      <c r="K47" s="104"/>
      <c r="L47" s="104"/>
      <c r="M47" s="104"/>
      <c r="N47" s="104"/>
      <c r="O47" s="104"/>
      <c r="P47" s="104"/>
      <c r="Q47" s="104"/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93" t="s">
        <v>4</v>
      </c>
      <c r="AE47" s="194"/>
      <c r="AF47" s="194"/>
      <c r="AG47" s="194"/>
      <c r="AH47" s="194"/>
      <c r="AI47" s="195"/>
      <c r="AJ47" s="187" t="s">
        <v>20</v>
      </c>
      <c r="AK47" s="188"/>
      <c r="AL47" s="189"/>
      <c r="AM47" s="66" t="s">
        <v>47</v>
      </c>
      <c r="AN47" s="67"/>
      <c r="AO47" s="68"/>
    </row>
    <row r="48" spans="1:50" ht="14.25" customHeight="1" thickBot="1" x14ac:dyDescent="0.25">
      <c r="A48" s="101"/>
      <c r="B48" s="102"/>
      <c r="C48" s="103"/>
      <c r="D48" s="25" t="s">
        <v>32</v>
      </c>
      <c r="E48" s="26"/>
      <c r="F48" s="215" t="s">
        <v>33</v>
      </c>
      <c r="G48" s="215"/>
      <c r="H48" s="122"/>
      <c r="I48" s="121" t="s">
        <v>28</v>
      </c>
      <c r="J48" s="122"/>
      <c r="K48" s="121" t="s">
        <v>29</v>
      </c>
      <c r="L48" s="123"/>
      <c r="M48" s="124"/>
      <c r="N48" s="116" t="s">
        <v>46</v>
      </c>
      <c r="O48" s="117"/>
      <c r="P48" s="117"/>
      <c r="Q48" s="118"/>
      <c r="R48" s="105" t="s">
        <v>30</v>
      </c>
      <c r="S48" s="106"/>
      <c r="T48" s="106"/>
      <c r="U48" s="106"/>
      <c r="V48" s="107"/>
      <c r="W48" s="105" t="s">
        <v>31</v>
      </c>
      <c r="X48" s="106"/>
      <c r="Y48" s="106"/>
      <c r="Z48" s="107"/>
      <c r="AA48" s="185" t="s">
        <v>1</v>
      </c>
      <c r="AB48" s="186"/>
      <c r="AC48" s="186"/>
      <c r="AD48" s="196"/>
      <c r="AE48" s="197"/>
      <c r="AF48" s="197"/>
      <c r="AG48" s="197"/>
      <c r="AH48" s="197"/>
      <c r="AI48" s="198"/>
      <c r="AJ48" s="190"/>
      <c r="AK48" s="191"/>
      <c r="AL48" s="192"/>
      <c r="AM48" s="69"/>
      <c r="AN48" s="70"/>
      <c r="AO48" s="71"/>
    </row>
    <row r="49" spans="1:41" ht="19.5" customHeight="1" thickBot="1" x14ac:dyDescent="0.25">
      <c r="A49" s="95"/>
      <c r="B49" s="96"/>
      <c r="C49" s="97"/>
      <c r="D49" s="119">
        <f>COUNTIF($AX$8:$AX$42,"в")</f>
        <v>0</v>
      </c>
      <c r="E49" s="120"/>
      <c r="F49" s="203">
        <f>COUNTIF($AX$8:$AX$42,"дв")</f>
        <v>11</v>
      </c>
      <c r="G49" s="203"/>
      <c r="H49" s="120"/>
      <c r="I49" s="113">
        <f>COUNTIF($AX$8:$AX$42,"д")</f>
        <v>1</v>
      </c>
      <c r="J49" s="115"/>
      <c r="K49" s="113">
        <f>COUNTIF($AX$8:$AX$42,"зд")</f>
        <v>13</v>
      </c>
      <c r="L49" s="114"/>
      <c r="M49" s="115"/>
      <c r="N49" s="110">
        <f>COUNTIF($AX$8:$AX$42,"здв")</f>
        <v>5</v>
      </c>
      <c r="O49" s="111"/>
      <c r="P49" s="111"/>
      <c r="Q49" s="112"/>
      <c r="R49" s="113">
        <f>COUNTIF($AX$8:$AX$42,"з")</f>
        <v>0</v>
      </c>
      <c r="S49" s="114"/>
      <c r="T49" s="114"/>
      <c r="U49" s="114"/>
      <c r="V49" s="115"/>
      <c r="W49" s="184">
        <f>COUNTIF($AX$8:$AX$42,"нз")</f>
        <v>0</v>
      </c>
      <c r="X49" s="114"/>
      <c r="Y49" s="114"/>
      <c r="Z49" s="115"/>
      <c r="AA49" s="184"/>
      <c r="AB49" s="203"/>
      <c r="AC49" s="120"/>
      <c r="AD49" s="199" t="s">
        <v>89</v>
      </c>
      <c r="AE49" s="96"/>
      <c r="AF49" s="96"/>
      <c r="AG49" s="96"/>
      <c r="AH49" s="96"/>
      <c r="AI49" s="200"/>
      <c r="AJ49" s="216" t="s">
        <v>90</v>
      </c>
      <c r="AK49" s="217"/>
      <c r="AL49" s="218"/>
      <c r="AM49" s="183">
        <v>1</v>
      </c>
      <c r="AN49" s="114"/>
      <c r="AO49" s="150"/>
    </row>
    <row r="50" spans="1:41" ht="21" customHeight="1" x14ac:dyDescent="0.2"/>
    <row r="52" spans="1:41" x14ac:dyDescent="0.2">
      <c r="C52" s="2"/>
    </row>
    <row r="53" spans="1:41" x14ac:dyDescent="0.2">
      <c r="C53" s="2"/>
    </row>
  </sheetData>
  <mergeCells count="685">
    <mergeCell ref="J28:K28"/>
    <mergeCell ref="J33:K33"/>
    <mergeCell ref="F28:G28"/>
    <mergeCell ref="F27:G27"/>
    <mergeCell ref="F31:G31"/>
    <mergeCell ref="F30:G30"/>
    <mergeCell ref="L38:M38"/>
    <mergeCell ref="J9:K9"/>
    <mergeCell ref="J11:K11"/>
    <mergeCell ref="J15:K15"/>
    <mergeCell ref="J18:K18"/>
    <mergeCell ref="J17:K17"/>
    <mergeCell ref="J16:K16"/>
    <mergeCell ref="J19:K19"/>
    <mergeCell ref="F18:G18"/>
    <mergeCell ref="F23:G23"/>
    <mergeCell ref="F22:G22"/>
    <mergeCell ref="F17:G17"/>
    <mergeCell ref="J23:K23"/>
    <mergeCell ref="J31:K31"/>
    <mergeCell ref="J30:K30"/>
    <mergeCell ref="J29:K29"/>
    <mergeCell ref="J25:K25"/>
    <mergeCell ref="J24:K24"/>
    <mergeCell ref="H41:I41"/>
    <mergeCell ref="J39:K39"/>
    <mergeCell ref="J35:K35"/>
    <mergeCell ref="J34:K34"/>
    <mergeCell ref="K49:M49"/>
    <mergeCell ref="F48:H48"/>
    <mergeCell ref="F49:H49"/>
    <mergeCell ref="F38:G38"/>
    <mergeCell ref="H38:I38"/>
    <mergeCell ref="J38:K38"/>
    <mergeCell ref="F41:G41"/>
    <mergeCell ref="F40:G40"/>
    <mergeCell ref="F39:G39"/>
    <mergeCell ref="H39:I39"/>
    <mergeCell ref="F36:G36"/>
    <mergeCell ref="F37:G37"/>
    <mergeCell ref="H36:I36"/>
    <mergeCell ref="H37:I37"/>
    <mergeCell ref="L37:M37"/>
    <mergeCell ref="L39:M39"/>
    <mergeCell ref="J13:K13"/>
    <mergeCell ref="J26:K26"/>
    <mergeCell ref="J27:K27"/>
    <mergeCell ref="J36:K36"/>
    <mergeCell ref="H22:I22"/>
    <mergeCell ref="H23:I23"/>
    <mergeCell ref="H34:I34"/>
    <mergeCell ref="H35:I35"/>
    <mergeCell ref="F19:G19"/>
    <mergeCell ref="F29:G29"/>
    <mergeCell ref="F35:G35"/>
    <mergeCell ref="F34:G34"/>
    <mergeCell ref="F32:G32"/>
    <mergeCell ref="H32:I32"/>
    <mergeCell ref="H33:I33"/>
    <mergeCell ref="F26:G26"/>
    <mergeCell ref="F25:G25"/>
    <mergeCell ref="F24:G24"/>
    <mergeCell ref="H24:I24"/>
    <mergeCell ref="H25:I25"/>
    <mergeCell ref="H26:I26"/>
    <mergeCell ref="H27:I27"/>
    <mergeCell ref="H28:I28"/>
    <mergeCell ref="J32:K32"/>
    <mergeCell ref="AQ5:BR5"/>
    <mergeCell ref="AB41:AC41"/>
    <mergeCell ref="AH41:AI41"/>
    <mergeCell ref="N41:O41"/>
    <mergeCell ref="P41:Q41"/>
    <mergeCell ref="AJ26:AK26"/>
    <mergeCell ref="AH26:AI26"/>
    <mergeCell ref="AH35:AI35"/>
    <mergeCell ref="AH34:AI34"/>
    <mergeCell ref="N5:O8"/>
    <mergeCell ref="AJ41:AK41"/>
    <mergeCell ref="AJ33:AK33"/>
    <mergeCell ref="AJ16:AK16"/>
    <mergeCell ref="AJ17:AK17"/>
    <mergeCell ref="AJ18:AK18"/>
    <mergeCell ref="AJ25:AK25"/>
    <mergeCell ref="AJ19:AK19"/>
    <mergeCell ref="AJ20:AK20"/>
    <mergeCell ref="AB9:AC9"/>
    <mergeCell ref="AH10:AI10"/>
    <mergeCell ref="AB10:AC10"/>
    <mergeCell ref="AB11:AC11"/>
    <mergeCell ref="AJ14:AK14"/>
    <mergeCell ref="AH11:AI11"/>
    <mergeCell ref="F33:G33"/>
    <mergeCell ref="AM49:AO49"/>
    <mergeCell ref="W49:Z49"/>
    <mergeCell ref="AA48:AC48"/>
    <mergeCell ref="AJ47:AL48"/>
    <mergeCell ref="AD47:AI48"/>
    <mergeCell ref="AD49:AI49"/>
    <mergeCell ref="AJ49:AL49"/>
    <mergeCell ref="R48:V48"/>
    <mergeCell ref="AJ45:AK45"/>
    <mergeCell ref="A46:AO46"/>
    <mergeCell ref="A40:C40"/>
    <mergeCell ref="D40:E40"/>
    <mergeCell ref="H40:I40"/>
    <mergeCell ref="L40:M40"/>
    <mergeCell ref="H45:I45"/>
    <mergeCell ref="L41:M41"/>
    <mergeCell ref="AA49:AC49"/>
    <mergeCell ref="V38:W38"/>
    <mergeCell ref="R38:S38"/>
    <mergeCell ref="N38:O38"/>
    <mergeCell ref="P38:Q38"/>
    <mergeCell ref="J41:K41"/>
    <mergeCell ref="J40:K40"/>
    <mergeCell ref="A41:C41"/>
    <mergeCell ref="AH32:AI32"/>
    <mergeCell ref="AH38:AI38"/>
    <mergeCell ref="AB26:AC26"/>
    <mergeCell ref="AB27:AC27"/>
    <mergeCell ref="AH27:AI27"/>
    <mergeCell ref="AJ32:AK32"/>
    <mergeCell ref="AJ27:AK27"/>
    <mergeCell ref="AJ28:AK28"/>
    <mergeCell ref="AJ29:AK29"/>
    <mergeCell ref="AB29:AC29"/>
    <mergeCell ref="AH30:AI30"/>
    <mergeCell ref="AH31:AI31"/>
    <mergeCell ref="AJ31:AK31"/>
    <mergeCell ref="AJ30:AK30"/>
    <mergeCell ref="D30:E30"/>
    <mergeCell ref="D31:E31"/>
    <mergeCell ref="D32:E32"/>
    <mergeCell ref="D33:E33"/>
    <mergeCell ref="D34:E34"/>
    <mergeCell ref="D35:E35"/>
    <mergeCell ref="H29:I29"/>
    <mergeCell ref="H30:I30"/>
    <mergeCell ref="H31:I31"/>
    <mergeCell ref="AJ12:AK12"/>
    <mergeCell ref="AJ13:AK13"/>
    <mergeCell ref="AD14:AE14"/>
    <mergeCell ref="AJ10:AK10"/>
    <mergeCell ref="AJ11:AK11"/>
    <mergeCell ref="AD10:AE10"/>
    <mergeCell ref="AD11:AE11"/>
    <mergeCell ref="AH14:AI14"/>
    <mergeCell ref="AF10:AG10"/>
    <mergeCell ref="AF11:AG11"/>
    <mergeCell ref="AF12:AG12"/>
    <mergeCell ref="AH12:AI12"/>
    <mergeCell ref="AH13:AI13"/>
    <mergeCell ref="A1:AO2"/>
    <mergeCell ref="AL5:AL8"/>
    <mergeCell ref="AM5:AM8"/>
    <mergeCell ref="D5:E8"/>
    <mergeCell ref="V5:W8"/>
    <mergeCell ref="A3:A8"/>
    <mergeCell ref="AO5:AO8"/>
    <mergeCell ref="AN5:AN8"/>
    <mergeCell ref="H5:I8"/>
    <mergeCell ref="R5:S8"/>
    <mergeCell ref="X5:Y8"/>
    <mergeCell ref="C3:C8"/>
    <mergeCell ref="AD5:AE8"/>
    <mergeCell ref="B3:B8"/>
    <mergeCell ref="AL3:AO4"/>
    <mergeCell ref="AJ3:AK8"/>
    <mergeCell ref="D3:AI4"/>
    <mergeCell ref="F10:G10"/>
    <mergeCell ref="D12:E12"/>
    <mergeCell ref="AH9:AI9"/>
    <mergeCell ref="Z9:AA9"/>
    <mergeCell ref="D10:E10"/>
    <mergeCell ref="D11:E11"/>
    <mergeCell ref="N11:O11"/>
    <mergeCell ref="R10:S10"/>
    <mergeCell ref="X10:Y10"/>
    <mergeCell ref="X11:Y11"/>
    <mergeCell ref="H10:I10"/>
    <mergeCell ref="H11:I11"/>
    <mergeCell ref="H12:I12"/>
    <mergeCell ref="N10:O10"/>
    <mergeCell ref="L10:M10"/>
    <mergeCell ref="L11:M11"/>
    <mergeCell ref="Z10:AA10"/>
    <mergeCell ref="P11:Q11"/>
    <mergeCell ref="R11:S11"/>
    <mergeCell ref="F12:G12"/>
    <mergeCell ref="F11:G11"/>
    <mergeCell ref="J12:K12"/>
    <mergeCell ref="Z11:AA11"/>
    <mergeCell ref="T11:U11"/>
    <mergeCell ref="AJ9:AK9"/>
    <mergeCell ref="L5:M8"/>
    <mergeCell ref="J5:K8"/>
    <mergeCell ref="P9:Q9"/>
    <mergeCell ref="D9:E9"/>
    <mergeCell ref="R9:S9"/>
    <mergeCell ref="Z5:AA8"/>
    <mergeCell ref="H9:I9"/>
    <mergeCell ref="N9:O9"/>
    <mergeCell ref="L9:M9"/>
    <mergeCell ref="AD9:AE9"/>
    <mergeCell ref="AF5:AG8"/>
    <mergeCell ref="T5:U8"/>
    <mergeCell ref="F5:G8"/>
    <mergeCell ref="AB5:AC8"/>
    <mergeCell ref="P5:Q8"/>
    <mergeCell ref="F9:G9"/>
    <mergeCell ref="AH5:AI8"/>
    <mergeCell ref="T9:U9"/>
    <mergeCell ref="V9:W9"/>
    <mergeCell ref="X9:Y9"/>
    <mergeCell ref="AF9:AG9"/>
    <mergeCell ref="V43:W43"/>
    <mergeCell ref="X45:Y45"/>
    <mergeCell ref="Z38:AA38"/>
    <mergeCell ref="AB38:AC38"/>
    <mergeCell ref="AD38:AE38"/>
    <mergeCell ref="AF38:AG38"/>
    <mergeCell ref="AH45:AI45"/>
    <mergeCell ref="AJ44:AK44"/>
    <mergeCell ref="AH21:AI21"/>
    <mergeCell ref="AH22:AI22"/>
    <mergeCell ref="V26:W26"/>
    <mergeCell ref="X26:Y26"/>
    <mergeCell ref="Z26:AA26"/>
    <mergeCell ref="V27:W27"/>
    <mergeCell ref="X27:Y27"/>
    <mergeCell ref="Z27:AA27"/>
    <mergeCell ref="AH28:AI28"/>
    <mergeCell ref="V28:W28"/>
    <mergeCell ref="X28:Y28"/>
    <mergeCell ref="Z28:AA28"/>
    <mergeCell ref="X38:Y38"/>
    <mergeCell ref="AJ40:AK40"/>
    <mergeCell ref="X21:Y21"/>
    <mergeCell ref="Z21:AA21"/>
    <mergeCell ref="A49:C49"/>
    <mergeCell ref="A47:C48"/>
    <mergeCell ref="D47:AC47"/>
    <mergeCell ref="W48:Z48"/>
    <mergeCell ref="A45:C45"/>
    <mergeCell ref="N49:Q49"/>
    <mergeCell ref="R49:V49"/>
    <mergeCell ref="L45:M45"/>
    <mergeCell ref="T45:U45"/>
    <mergeCell ref="N48:Q48"/>
    <mergeCell ref="F45:G45"/>
    <mergeCell ref="AB45:AC45"/>
    <mergeCell ref="R45:S45"/>
    <mergeCell ref="V45:W45"/>
    <mergeCell ref="D45:E45"/>
    <mergeCell ref="D49:E49"/>
    <mergeCell ref="I48:J48"/>
    <mergeCell ref="I49:J49"/>
    <mergeCell ref="K48:M48"/>
    <mergeCell ref="J45:K45"/>
    <mergeCell ref="P44:Q44"/>
    <mergeCell ref="P45:Q45"/>
    <mergeCell ref="V44:W44"/>
    <mergeCell ref="N45:O45"/>
    <mergeCell ref="AJ42:AK42"/>
    <mergeCell ref="AH43:AI43"/>
    <mergeCell ref="AJ43:AK43"/>
    <mergeCell ref="X44:Y44"/>
    <mergeCell ref="AB43:AC43"/>
    <mergeCell ref="AH44:AI44"/>
    <mergeCell ref="AB42:AC42"/>
    <mergeCell ref="AH42:AI42"/>
    <mergeCell ref="X43:Y43"/>
    <mergeCell ref="AB44:AC44"/>
    <mergeCell ref="Z44:AA44"/>
    <mergeCell ref="T43:U43"/>
    <mergeCell ref="AF43:AG43"/>
    <mergeCell ref="AF44:AG44"/>
    <mergeCell ref="AF45:AG45"/>
    <mergeCell ref="AF42:AG42"/>
    <mergeCell ref="Z43:AA43"/>
    <mergeCell ref="T44:U44"/>
    <mergeCell ref="N44:O44"/>
    <mergeCell ref="Z45:AA45"/>
    <mergeCell ref="D22:E22"/>
    <mergeCell ref="D23:E23"/>
    <mergeCell ref="D24:E24"/>
    <mergeCell ref="D39:E39"/>
    <mergeCell ref="D25:E25"/>
    <mergeCell ref="D26:E26"/>
    <mergeCell ref="D27:E27"/>
    <mergeCell ref="D28:E28"/>
    <mergeCell ref="D29:E29"/>
    <mergeCell ref="D38:E38"/>
    <mergeCell ref="D36:E36"/>
    <mergeCell ref="D37:E37"/>
    <mergeCell ref="D41:E41"/>
    <mergeCell ref="V41:W41"/>
    <mergeCell ref="A44:C44"/>
    <mergeCell ref="D44:E44"/>
    <mergeCell ref="H44:I44"/>
    <mergeCell ref="L44:M44"/>
    <mergeCell ref="F43:G43"/>
    <mergeCell ref="N42:O42"/>
    <mergeCell ref="J42:K42"/>
    <mergeCell ref="J43:K43"/>
    <mergeCell ref="A42:C42"/>
    <mergeCell ref="D42:E42"/>
    <mergeCell ref="A43:C43"/>
    <mergeCell ref="R43:S43"/>
    <mergeCell ref="D43:E43"/>
    <mergeCell ref="H43:I43"/>
    <mergeCell ref="L43:M43"/>
    <mergeCell ref="F44:G44"/>
    <mergeCell ref="J44:K44"/>
    <mergeCell ref="N43:O43"/>
    <mergeCell ref="H42:I42"/>
    <mergeCell ref="L42:M42"/>
    <mergeCell ref="F42:G42"/>
    <mergeCell ref="R44:S44"/>
    <mergeCell ref="D13:E13"/>
    <mergeCell ref="D14:E14"/>
    <mergeCell ref="D15:E15"/>
    <mergeCell ref="D16:E16"/>
    <mergeCell ref="H14:I14"/>
    <mergeCell ref="H15:I15"/>
    <mergeCell ref="H16:I16"/>
    <mergeCell ref="D20:E20"/>
    <mergeCell ref="D21:E21"/>
    <mergeCell ref="H21:I21"/>
    <mergeCell ref="H13:I13"/>
    <mergeCell ref="H18:I18"/>
    <mergeCell ref="H19:I19"/>
    <mergeCell ref="H20:I20"/>
    <mergeCell ref="D17:E17"/>
    <mergeCell ref="D18:E18"/>
    <mergeCell ref="D19:E19"/>
    <mergeCell ref="F16:G16"/>
    <mergeCell ref="F15:G15"/>
    <mergeCell ref="F14:G14"/>
    <mergeCell ref="F13:G13"/>
    <mergeCell ref="F20:G20"/>
    <mergeCell ref="H17:I17"/>
    <mergeCell ref="F21:G21"/>
    <mergeCell ref="L32:M32"/>
    <mergeCell ref="L33:M33"/>
    <mergeCell ref="L35:M35"/>
    <mergeCell ref="L15:M15"/>
    <mergeCell ref="L20:M20"/>
    <mergeCell ref="L22:M22"/>
    <mergeCell ref="L24:M24"/>
    <mergeCell ref="L31:M31"/>
    <mergeCell ref="L17:M17"/>
    <mergeCell ref="L30:M30"/>
    <mergeCell ref="AD15:AE15"/>
    <mergeCell ref="N14:O14"/>
    <mergeCell ref="L12:M12"/>
    <mergeCell ref="L16:M16"/>
    <mergeCell ref="L13:M13"/>
    <mergeCell ref="L14:M14"/>
    <mergeCell ref="L19:M19"/>
    <mergeCell ref="L23:M23"/>
    <mergeCell ref="L25:M25"/>
    <mergeCell ref="T12:U12"/>
    <mergeCell ref="V12:W12"/>
    <mergeCell ref="X12:Y12"/>
    <mergeCell ref="Z12:AA12"/>
    <mergeCell ref="AD12:AE12"/>
    <mergeCell ref="T14:U14"/>
    <mergeCell ref="V14:W14"/>
    <mergeCell ref="Z14:AA14"/>
    <mergeCell ref="AB13:AC13"/>
    <mergeCell ref="X13:Y13"/>
    <mergeCell ref="AB12:AC12"/>
    <mergeCell ref="Z13:AA13"/>
    <mergeCell ref="X14:Y14"/>
    <mergeCell ref="X15:Y15"/>
    <mergeCell ref="Z15:AA15"/>
    <mergeCell ref="AB15:AC15"/>
    <mergeCell ref="AB14:AC14"/>
    <mergeCell ref="J14:K14"/>
    <mergeCell ref="J22:K22"/>
    <mergeCell ref="J21:K21"/>
    <mergeCell ref="L18:M18"/>
    <mergeCell ref="L21:M21"/>
    <mergeCell ref="J20:K20"/>
    <mergeCell ref="T10:U10"/>
    <mergeCell ref="V10:W10"/>
    <mergeCell ref="N12:O12"/>
    <mergeCell ref="P12:Q12"/>
    <mergeCell ref="R12:S12"/>
    <mergeCell ref="P14:Q14"/>
    <mergeCell ref="N13:O13"/>
    <mergeCell ref="P10:Q10"/>
    <mergeCell ref="N15:O15"/>
    <mergeCell ref="P15:Q15"/>
    <mergeCell ref="P13:Q13"/>
    <mergeCell ref="R13:S13"/>
    <mergeCell ref="R14:S14"/>
    <mergeCell ref="R15:S15"/>
    <mergeCell ref="T15:U15"/>
    <mergeCell ref="V15:W15"/>
    <mergeCell ref="V11:W11"/>
    <mergeCell ref="T13:U13"/>
    <mergeCell ref="V13:W13"/>
    <mergeCell ref="N17:O17"/>
    <mergeCell ref="P17:Q17"/>
    <mergeCell ref="R17:S17"/>
    <mergeCell ref="AB17:AC17"/>
    <mergeCell ref="AH17:AI17"/>
    <mergeCell ref="T17:U17"/>
    <mergeCell ref="V17:W17"/>
    <mergeCell ref="X17:Y17"/>
    <mergeCell ref="Z17:AA17"/>
    <mergeCell ref="AD17:AE17"/>
    <mergeCell ref="N16:O16"/>
    <mergeCell ref="P16:Q16"/>
    <mergeCell ref="R16:S16"/>
    <mergeCell ref="AH16:AI16"/>
    <mergeCell ref="T16:U16"/>
    <mergeCell ref="V16:W16"/>
    <mergeCell ref="X16:Y16"/>
    <mergeCell ref="AF13:AG13"/>
    <mergeCell ref="AF14:AG14"/>
    <mergeCell ref="Z16:AA16"/>
    <mergeCell ref="AB16:AC16"/>
    <mergeCell ref="AD16:AE16"/>
    <mergeCell ref="N20:O20"/>
    <mergeCell ref="P20:Q20"/>
    <mergeCell ref="R20:S20"/>
    <mergeCell ref="AD19:AE19"/>
    <mergeCell ref="AH18:AI18"/>
    <mergeCell ref="T18:U18"/>
    <mergeCell ref="V18:W18"/>
    <mergeCell ref="X18:Y18"/>
    <mergeCell ref="Z18:AA18"/>
    <mergeCell ref="AB18:AC18"/>
    <mergeCell ref="AD18:AE18"/>
    <mergeCell ref="N19:O19"/>
    <mergeCell ref="P19:Q19"/>
    <mergeCell ref="R19:S19"/>
    <mergeCell ref="N18:O18"/>
    <mergeCell ref="P18:Q18"/>
    <mergeCell ref="R18:S18"/>
    <mergeCell ref="AH19:AI19"/>
    <mergeCell ref="T19:U19"/>
    <mergeCell ref="V19:W19"/>
    <mergeCell ref="X19:Y19"/>
    <mergeCell ref="Z19:AA19"/>
    <mergeCell ref="AB19:AC19"/>
    <mergeCell ref="AB21:AC21"/>
    <mergeCell ref="AD21:AE21"/>
    <mergeCell ref="AF21:AG21"/>
    <mergeCell ref="AH20:AI20"/>
    <mergeCell ref="T20:U20"/>
    <mergeCell ref="V20:W20"/>
    <mergeCell ref="X20:Y20"/>
    <mergeCell ref="Z20:AA20"/>
    <mergeCell ref="AB20:AC20"/>
    <mergeCell ref="AD20:AE20"/>
    <mergeCell ref="T23:U23"/>
    <mergeCell ref="V23:W23"/>
    <mergeCell ref="X23:Y23"/>
    <mergeCell ref="Z23:AA23"/>
    <mergeCell ref="AB23:AC23"/>
    <mergeCell ref="AD23:AE23"/>
    <mergeCell ref="AF23:AG23"/>
    <mergeCell ref="N21:O21"/>
    <mergeCell ref="P21:Q21"/>
    <mergeCell ref="R21:S21"/>
    <mergeCell ref="T22:U22"/>
    <mergeCell ref="V22:W22"/>
    <mergeCell ref="X22:Y22"/>
    <mergeCell ref="Z22:AA22"/>
    <mergeCell ref="AB22:AC22"/>
    <mergeCell ref="AD22:AE22"/>
    <mergeCell ref="N23:O23"/>
    <mergeCell ref="P23:Q23"/>
    <mergeCell ref="R23:S23"/>
    <mergeCell ref="N22:O22"/>
    <mergeCell ref="P22:Q22"/>
    <mergeCell ref="R22:S22"/>
    <mergeCell ref="T21:U21"/>
    <mergeCell ref="V21:W21"/>
    <mergeCell ref="N24:O24"/>
    <mergeCell ref="P24:Q24"/>
    <mergeCell ref="R24:S24"/>
    <mergeCell ref="N25:O25"/>
    <mergeCell ref="P25:Q25"/>
    <mergeCell ref="R25:S25"/>
    <mergeCell ref="AH24:AI24"/>
    <mergeCell ref="T24:U24"/>
    <mergeCell ref="V24:W24"/>
    <mergeCell ref="X24:Y24"/>
    <mergeCell ref="Z24:AA24"/>
    <mergeCell ref="AB24:AC24"/>
    <mergeCell ref="AD24:AE24"/>
    <mergeCell ref="AF24:AG24"/>
    <mergeCell ref="AH25:AI25"/>
    <mergeCell ref="T25:U25"/>
    <mergeCell ref="V25:W25"/>
    <mergeCell ref="X25:Y25"/>
    <mergeCell ref="Z25:AA25"/>
    <mergeCell ref="AB25:AC25"/>
    <mergeCell ref="AD25:AE25"/>
    <mergeCell ref="AF25:AG25"/>
    <mergeCell ref="Z29:AA29"/>
    <mergeCell ref="L28:M28"/>
    <mergeCell ref="N28:O28"/>
    <mergeCell ref="P28:Q28"/>
    <mergeCell ref="R28:S28"/>
    <mergeCell ref="L29:M29"/>
    <mergeCell ref="N26:O26"/>
    <mergeCell ref="P26:Q26"/>
    <mergeCell ref="R26:S26"/>
    <mergeCell ref="L27:M27"/>
    <mergeCell ref="N27:O27"/>
    <mergeCell ref="P27:Q27"/>
    <mergeCell ref="R27:S27"/>
    <mergeCell ref="T29:U29"/>
    <mergeCell ref="T26:U26"/>
    <mergeCell ref="T27:U27"/>
    <mergeCell ref="N29:O29"/>
    <mergeCell ref="P29:Q29"/>
    <mergeCell ref="R29:S29"/>
    <mergeCell ref="T28:U28"/>
    <mergeCell ref="L26:M26"/>
    <mergeCell ref="N33:O33"/>
    <mergeCell ref="P33:Q33"/>
    <mergeCell ref="R33:S33"/>
    <mergeCell ref="AB33:AC33"/>
    <mergeCell ref="P30:Q30"/>
    <mergeCell ref="R30:S30"/>
    <mergeCell ref="T30:U30"/>
    <mergeCell ref="V30:W30"/>
    <mergeCell ref="T32:U32"/>
    <mergeCell ref="V32:W32"/>
    <mergeCell ref="N32:O32"/>
    <mergeCell ref="P32:Q32"/>
    <mergeCell ref="R32:S32"/>
    <mergeCell ref="AB31:AC31"/>
    <mergeCell ref="T31:U31"/>
    <mergeCell ref="V31:W31"/>
    <mergeCell ref="X31:Y31"/>
    <mergeCell ref="Z31:AA31"/>
    <mergeCell ref="N31:O31"/>
    <mergeCell ref="P31:Q31"/>
    <mergeCell ref="R31:S31"/>
    <mergeCell ref="T33:U33"/>
    <mergeCell ref="N30:O30"/>
    <mergeCell ref="N35:O35"/>
    <mergeCell ref="P35:Q35"/>
    <mergeCell ref="R35:S35"/>
    <mergeCell ref="X34:Y34"/>
    <mergeCell ref="Z34:AA34"/>
    <mergeCell ref="X35:Y35"/>
    <mergeCell ref="Z35:AA35"/>
    <mergeCell ref="L34:M34"/>
    <mergeCell ref="N34:O34"/>
    <mergeCell ref="T35:U35"/>
    <mergeCell ref="V35:W35"/>
    <mergeCell ref="T34:U34"/>
    <mergeCell ref="P34:Q34"/>
    <mergeCell ref="R34:S34"/>
    <mergeCell ref="V34:W34"/>
    <mergeCell ref="N39:O39"/>
    <mergeCell ref="P39:Q39"/>
    <mergeCell ref="R39:S39"/>
    <mergeCell ref="AH40:AI40"/>
    <mergeCell ref="N40:O40"/>
    <mergeCell ref="R42:S42"/>
    <mergeCell ref="T42:U42"/>
    <mergeCell ref="AB39:AC39"/>
    <mergeCell ref="AH39:AI39"/>
    <mergeCell ref="T39:U39"/>
    <mergeCell ref="V39:W39"/>
    <mergeCell ref="R41:S41"/>
    <mergeCell ref="Z41:AA41"/>
    <mergeCell ref="Z42:AA42"/>
    <mergeCell ref="V40:W40"/>
    <mergeCell ref="X40:Y40"/>
    <mergeCell ref="X41:Y41"/>
    <mergeCell ref="T41:U41"/>
    <mergeCell ref="X42:Y42"/>
    <mergeCell ref="AF41:AG41"/>
    <mergeCell ref="AF40:AG40"/>
    <mergeCell ref="R40:S40"/>
    <mergeCell ref="T40:U40"/>
    <mergeCell ref="P40:Q40"/>
    <mergeCell ref="V42:W42"/>
    <mergeCell ref="AD27:AE27"/>
    <mergeCell ref="AD28:AE28"/>
    <mergeCell ref="AD29:AE29"/>
    <mergeCell ref="AD30:AE30"/>
    <mergeCell ref="AD31:AE31"/>
    <mergeCell ref="Z36:AA36"/>
    <mergeCell ref="Z37:AA37"/>
    <mergeCell ref="AB36:AC36"/>
    <mergeCell ref="AB37:AC37"/>
    <mergeCell ref="AD36:AE36"/>
    <mergeCell ref="AD37:AE37"/>
    <mergeCell ref="X39:Y39"/>
    <mergeCell ref="Z39:AA39"/>
    <mergeCell ref="AB34:AC34"/>
    <mergeCell ref="X33:Y33"/>
    <mergeCell ref="Z33:AA33"/>
    <mergeCell ref="V33:W33"/>
    <mergeCell ref="X32:Y32"/>
    <mergeCell ref="Z32:AA32"/>
    <mergeCell ref="AB32:AC32"/>
    <mergeCell ref="AB28:AC28"/>
    <mergeCell ref="V29:W29"/>
    <mergeCell ref="X29:Y29"/>
    <mergeCell ref="J10:K10"/>
    <mergeCell ref="X30:Y30"/>
    <mergeCell ref="Z30:AA30"/>
    <mergeCell ref="AB30:AC30"/>
    <mergeCell ref="AD41:AE41"/>
    <mergeCell ref="AD42:AE42"/>
    <mergeCell ref="AD43:AE43"/>
    <mergeCell ref="AD44:AE44"/>
    <mergeCell ref="AD45:AE45"/>
    <mergeCell ref="AD32:AE32"/>
    <mergeCell ref="AD40:AE40"/>
    <mergeCell ref="Z40:AA40"/>
    <mergeCell ref="AB35:AC35"/>
    <mergeCell ref="AD33:AE33"/>
    <mergeCell ref="AD34:AE34"/>
    <mergeCell ref="AB40:AC40"/>
    <mergeCell ref="P42:Q42"/>
    <mergeCell ref="P43:Q43"/>
    <mergeCell ref="AD35:AE35"/>
    <mergeCell ref="AD39:AE39"/>
    <mergeCell ref="AD13:AE13"/>
    <mergeCell ref="AD26:AE26"/>
    <mergeCell ref="J37:K37"/>
    <mergeCell ref="L36:M36"/>
    <mergeCell ref="N36:O36"/>
    <mergeCell ref="N37:O37"/>
    <mergeCell ref="P36:Q36"/>
    <mergeCell ref="P37:Q37"/>
    <mergeCell ref="R36:S36"/>
    <mergeCell ref="R37:S37"/>
    <mergeCell ref="V36:W36"/>
    <mergeCell ref="V37:W37"/>
    <mergeCell ref="X36:Y36"/>
    <mergeCell ref="X37:Y37"/>
    <mergeCell ref="AM47:AO48"/>
    <mergeCell ref="AF26:AG26"/>
    <mergeCell ref="AF27:AG27"/>
    <mergeCell ref="AF28:AG28"/>
    <mergeCell ref="AF29:AG29"/>
    <mergeCell ref="AF30:AG30"/>
    <mergeCell ref="AH36:AI36"/>
    <mergeCell ref="AH37:AI37"/>
    <mergeCell ref="AJ36:AK36"/>
    <mergeCell ref="AJ37:AK37"/>
    <mergeCell ref="AJ38:AK38"/>
    <mergeCell ref="AF32:AG32"/>
    <mergeCell ref="AF33:AG33"/>
    <mergeCell ref="AF34:AG34"/>
    <mergeCell ref="AF35:AG35"/>
    <mergeCell ref="AJ34:AK34"/>
    <mergeCell ref="AH29:AI29"/>
    <mergeCell ref="AJ35:AK35"/>
    <mergeCell ref="AJ39:AK39"/>
    <mergeCell ref="AH33:AI33"/>
    <mergeCell ref="AF36:AG36"/>
    <mergeCell ref="AF37:AG37"/>
    <mergeCell ref="AF39:AG39"/>
    <mergeCell ref="AF31:AG31"/>
    <mergeCell ref="AJ24:AK24"/>
    <mergeCell ref="AJ15:AK15"/>
    <mergeCell ref="AH15:AI15"/>
    <mergeCell ref="AF15:AG15"/>
    <mergeCell ref="AF16:AG16"/>
    <mergeCell ref="AF17:AG17"/>
    <mergeCell ref="AF18:AG18"/>
    <mergeCell ref="AF19:AG19"/>
    <mergeCell ref="AF20:AG20"/>
    <mergeCell ref="AF22:AG22"/>
    <mergeCell ref="AH23:AI23"/>
    <mergeCell ref="AJ21:AK21"/>
    <mergeCell ref="AJ22:AK22"/>
    <mergeCell ref="AJ23:AK23"/>
  </mergeCells>
  <phoneticPr fontId="10" type="noConversion"/>
  <pageMargins left="0.17447916666666666" right="0.25" top="5.5833333333333332E-2" bottom="0.5513541666666667" header="0.3" footer="0.3"/>
  <pageSetup paperSize="9" scale="6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T37"/>
  <sheetViews>
    <sheetView view="pageBreakPreview" zoomScaleNormal="100" zoomScaleSheetLayoutView="100" workbookViewId="0">
      <selection activeCell="P26" sqref="P26"/>
    </sheetView>
  </sheetViews>
  <sheetFormatPr defaultRowHeight="12.75" x14ac:dyDescent="0.2"/>
  <cols>
    <col min="1" max="1" width="6.85546875" customWidth="1"/>
    <col min="2" max="2" width="33" bestFit="1" customWidth="1"/>
    <col min="4" max="4" width="9.140625" style="23"/>
    <col min="7" max="7" width="33" bestFit="1" customWidth="1"/>
  </cols>
  <sheetData>
    <row r="1" spans="1:20" ht="13.5" thickBot="1" x14ac:dyDescent="0.25">
      <c r="A1" s="31"/>
      <c r="B1" s="32" t="s">
        <v>9</v>
      </c>
      <c r="C1" s="33"/>
      <c r="D1" s="53"/>
      <c r="E1" s="34"/>
      <c r="F1" s="33"/>
      <c r="G1" s="33"/>
      <c r="H1" s="33"/>
      <c r="I1" s="32" t="s">
        <v>48</v>
      </c>
      <c r="J1" s="33"/>
      <c r="K1" s="33"/>
      <c r="N1" s="30" t="s">
        <v>12</v>
      </c>
      <c r="O1" s="50" t="s">
        <v>5</v>
      </c>
      <c r="P1" s="36" t="s">
        <v>7</v>
      </c>
      <c r="R1" s="30" t="s">
        <v>12</v>
      </c>
      <c r="S1" s="50" t="s">
        <v>5</v>
      </c>
      <c r="T1" s="36" t="s">
        <v>7</v>
      </c>
    </row>
    <row r="2" spans="1:20" ht="13.5" thickBot="1" x14ac:dyDescent="0.25">
      <c r="A2" s="37" t="s">
        <v>6</v>
      </c>
      <c r="B2" s="27" t="s">
        <v>12</v>
      </c>
      <c r="C2" s="50" t="s">
        <v>5</v>
      </c>
      <c r="D2" s="36" t="s">
        <v>7</v>
      </c>
      <c r="E2" s="28" t="s">
        <v>8</v>
      </c>
      <c r="F2" s="29" t="s">
        <v>6</v>
      </c>
      <c r="G2" s="58" t="s">
        <v>12</v>
      </c>
      <c r="H2" s="50" t="s">
        <v>5</v>
      </c>
      <c r="I2" s="36" t="s">
        <v>7</v>
      </c>
      <c r="J2" s="28" t="s">
        <v>8</v>
      </c>
      <c r="K2" s="47"/>
      <c r="O2" t="s">
        <v>49</v>
      </c>
      <c r="P2" t="s">
        <v>52</v>
      </c>
      <c r="S2" t="s">
        <v>49</v>
      </c>
      <c r="T2" t="s">
        <v>50</v>
      </c>
    </row>
    <row r="3" spans="1:20" x14ac:dyDescent="0.2">
      <c r="A3" s="38">
        <v>1</v>
      </c>
      <c r="B3" s="39" t="str">
        <f>І3!C35</f>
        <v>Фрезюк Катерина Олегівна</v>
      </c>
      <c r="C3" s="59">
        <f>І3!AJ35</f>
        <v>10.066666666666666</v>
      </c>
      <c r="D3" s="57" t="str">
        <f>І3!B35</f>
        <v>р</v>
      </c>
      <c r="E3" s="41"/>
      <c r="F3" s="39">
        <v>1</v>
      </c>
      <c r="G3" s="39" t="s">
        <v>82</v>
      </c>
      <c r="H3" s="59">
        <v>10.066666666666666</v>
      </c>
      <c r="I3" s="57" t="s">
        <v>52</v>
      </c>
      <c r="J3" s="42"/>
      <c r="K3" s="42"/>
    </row>
    <row r="4" spans="1:20" x14ac:dyDescent="0.2">
      <c r="A4" s="4">
        <v>2</v>
      </c>
      <c r="B4" s="39" t="str">
        <f>І3!C26</f>
        <v>Наконечна Ілона Ігорівна</v>
      </c>
      <c r="C4" s="59">
        <f>І3!AJ26</f>
        <v>9.9333333333333336</v>
      </c>
      <c r="D4" s="57" t="str">
        <f>І3!B26</f>
        <v>р</v>
      </c>
      <c r="E4" s="16"/>
      <c r="F4" s="8">
        <v>2</v>
      </c>
      <c r="G4" s="39" t="s">
        <v>73</v>
      </c>
      <c r="H4" s="59">
        <v>9.9333333333333336</v>
      </c>
      <c r="I4" s="57" t="s">
        <v>52</v>
      </c>
      <c r="J4" s="1"/>
      <c r="K4" s="1"/>
    </row>
    <row r="5" spans="1:20" x14ac:dyDescent="0.2">
      <c r="A5" s="4">
        <v>3</v>
      </c>
      <c r="B5" s="39" t="str">
        <f>І3!C21</f>
        <v>Канюк Анна Ігорівна</v>
      </c>
      <c r="C5" s="59">
        <f>І3!AJ21</f>
        <v>9.2857142857142865</v>
      </c>
      <c r="D5" s="57" t="str">
        <f>І3!B21</f>
        <v>р</v>
      </c>
      <c r="E5" s="16"/>
      <c r="F5" s="39">
        <v>3</v>
      </c>
      <c r="G5" s="39" t="s">
        <v>68</v>
      </c>
      <c r="H5" s="59">
        <v>9.2857142857142865</v>
      </c>
      <c r="I5" s="57" t="s">
        <v>52</v>
      </c>
      <c r="J5" s="1"/>
      <c r="K5" s="1"/>
    </row>
    <row r="6" spans="1:20" x14ac:dyDescent="0.2">
      <c r="A6" s="4">
        <v>4</v>
      </c>
      <c r="B6" s="39" t="str">
        <f>І3!C28</f>
        <v xml:space="preserve">Паркулаб Вікторія Богданівна </v>
      </c>
      <c r="C6" s="59">
        <f>І3!AJ28</f>
        <v>9.0666666666666664</v>
      </c>
      <c r="D6" s="57" t="str">
        <f>І3!B28</f>
        <v>р</v>
      </c>
      <c r="E6" s="14"/>
      <c r="F6" s="8">
        <v>4</v>
      </c>
      <c r="G6" s="39" t="s">
        <v>75</v>
      </c>
      <c r="H6" s="59">
        <v>9.0666666666666664</v>
      </c>
      <c r="I6" s="57" t="s">
        <v>52</v>
      </c>
      <c r="J6" s="1"/>
      <c r="K6" s="1"/>
    </row>
    <row r="7" spans="1:20" x14ac:dyDescent="0.2">
      <c r="A7" s="4">
        <v>5</v>
      </c>
      <c r="B7" s="39" t="str">
        <f>І3!C12</f>
        <v>Бурянна Вероніка Михайлівна</v>
      </c>
      <c r="C7" s="59">
        <f>І3!AJ12</f>
        <v>8.8000000000000007</v>
      </c>
      <c r="D7" s="57" t="str">
        <f>І3!B12</f>
        <v>р</v>
      </c>
      <c r="E7" s="14"/>
      <c r="F7" s="39">
        <v>5</v>
      </c>
      <c r="G7" s="39" t="s">
        <v>59</v>
      </c>
      <c r="H7" s="59">
        <v>8.8000000000000007</v>
      </c>
      <c r="I7" s="57" t="s">
        <v>52</v>
      </c>
      <c r="J7" s="1"/>
      <c r="K7" s="1"/>
    </row>
    <row r="8" spans="1:20" x14ac:dyDescent="0.2">
      <c r="A8" s="4">
        <v>6</v>
      </c>
      <c r="B8" s="39" t="str">
        <f>І3!C14</f>
        <v>Гвоздянчук Аліна Ярославівна</v>
      </c>
      <c r="C8" s="59">
        <f>І3!AJ14</f>
        <v>8.7333333333333325</v>
      </c>
      <c r="D8" s="57" t="str">
        <f>І3!B14</f>
        <v>р</v>
      </c>
      <c r="E8" s="16"/>
      <c r="F8" s="8">
        <v>6</v>
      </c>
      <c r="G8" s="39" t="s">
        <v>61</v>
      </c>
      <c r="H8" s="59">
        <v>8.7333333333333325</v>
      </c>
      <c r="I8" s="57" t="s">
        <v>52</v>
      </c>
      <c r="J8" s="1"/>
      <c r="K8" s="1"/>
    </row>
    <row r="9" spans="1:20" x14ac:dyDescent="0.2">
      <c r="A9" s="4">
        <v>7</v>
      </c>
      <c r="B9" s="39" t="str">
        <f>І3!C27</f>
        <v>Павлишин Анна Богданівна</v>
      </c>
      <c r="C9" s="59">
        <f>І3!AJ27</f>
        <v>8.7333333333333325</v>
      </c>
      <c r="D9" s="57" t="str">
        <f>І3!B27</f>
        <v>р</v>
      </c>
      <c r="E9" s="16"/>
      <c r="F9" s="39">
        <v>7</v>
      </c>
      <c r="G9" s="39" t="s">
        <v>74</v>
      </c>
      <c r="H9" s="59">
        <v>8.7333333333333325</v>
      </c>
      <c r="I9" s="57" t="s">
        <v>52</v>
      </c>
      <c r="J9" s="1"/>
      <c r="K9" s="1"/>
    </row>
    <row r="10" spans="1:20" x14ac:dyDescent="0.2">
      <c r="A10" s="4">
        <v>8</v>
      </c>
      <c r="B10" s="39" t="str">
        <f>І3!C38</f>
        <v>Яців Діана Андріївна</v>
      </c>
      <c r="C10" s="59">
        <f>І3!AJ38</f>
        <v>8.5714285714285712</v>
      </c>
      <c r="D10" s="57" t="str">
        <f>І3!B38</f>
        <v>р</v>
      </c>
      <c r="E10" s="16"/>
      <c r="F10" s="8">
        <v>8</v>
      </c>
      <c r="G10" s="39" t="s">
        <v>85</v>
      </c>
      <c r="H10" s="59">
        <v>8.5714285714285712</v>
      </c>
      <c r="I10" s="57" t="s">
        <v>52</v>
      </c>
      <c r="J10" s="1"/>
      <c r="K10" s="1"/>
    </row>
    <row r="11" spans="1:20" x14ac:dyDescent="0.2">
      <c r="A11" s="4">
        <v>9</v>
      </c>
      <c r="B11" s="39" t="str">
        <f>І3!C25</f>
        <v>Микуляк Юлія Євгенівна</v>
      </c>
      <c r="C11" s="59">
        <f>І3!AJ25</f>
        <v>8.4666666666666668</v>
      </c>
      <c r="D11" s="57" t="str">
        <f>І3!B25</f>
        <v>р</v>
      </c>
      <c r="E11" s="16"/>
      <c r="F11" s="39">
        <v>9</v>
      </c>
      <c r="G11" s="39" t="s">
        <v>72</v>
      </c>
      <c r="H11" s="59">
        <v>8.4666666666666668</v>
      </c>
      <c r="I11" s="57" t="s">
        <v>52</v>
      </c>
      <c r="J11" s="1"/>
      <c r="K11" s="1"/>
    </row>
    <row r="12" spans="1:20" x14ac:dyDescent="0.2">
      <c r="A12" s="4">
        <v>10</v>
      </c>
      <c r="B12" s="39" t="str">
        <f>І3!C33</f>
        <v>Суслик Христина Степанівна</v>
      </c>
      <c r="C12" s="59">
        <f>І3!AJ33</f>
        <v>8.3333333333333339</v>
      </c>
      <c r="D12" s="57" t="str">
        <f>І3!B33</f>
        <v>р</v>
      </c>
      <c r="E12" s="16"/>
      <c r="F12" s="8">
        <v>10</v>
      </c>
      <c r="G12" s="39" t="s">
        <v>80</v>
      </c>
      <c r="H12" s="59">
        <v>8.3333333333333339</v>
      </c>
      <c r="I12" s="57" t="s">
        <v>52</v>
      </c>
      <c r="J12" s="1"/>
      <c r="K12" s="1"/>
    </row>
    <row r="13" spans="1:20" x14ac:dyDescent="0.2">
      <c r="A13" s="4">
        <v>11</v>
      </c>
      <c r="B13" s="39" t="str">
        <f>І3!C37</f>
        <v>Штих Соломія Юріївна</v>
      </c>
      <c r="C13" s="59">
        <f>І3!AJ37</f>
        <v>8.3333333333333339</v>
      </c>
      <c r="D13" s="57" t="str">
        <f>І3!B37</f>
        <v>р</v>
      </c>
      <c r="E13" s="16"/>
      <c r="F13" s="39">
        <v>11</v>
      </c>
      <c r="G13" s="39" t="s">
        <v>84</v>
      </c>
      <c r="H13" s="59">
        <v>8.3333333333333339</v>
      </c>
      <c r="I13" s="57" t="s">
        <v>52</v>
      </c>
      <c r="J13" s="1"/>
      <c r="K13" s="1"/>
    </row>
    <row r="14" spans="1:20" x14ac:dyDescent="0.2">
      <c r="A14" s="4">
        <v>12</v>
      </c>
      <c r="B14" s="39" t="str">
        <f>І3!C30</f>
        <v>Семак Анна Андріївна</v>
      </c>
      <c r="C14" s="59">
        <f>І3!AJ30</f>
        <v>8.1999999999999993</v>
      </c>
      <c r="D14" s="57" t="str">
        <f>І3!B30</f>
        <v>к</v>
      </c>
      <c r="E14" s="16"/>
      <c r="F14" s="8">
        <v>12</v>
      </c>
      <c r="G14" s="39" t="s">
        <v>83</v>
      </c>
      <c r="H14" s="59">
        <v>8.1333333333333329</v>
      </c>
      <c r="I14" s="57" t="s">
        <v>52</v>
      </c>
      <c r="J14" s="1"/>
      <c r="K14" s="1"/>
    </row>
    <row r="15" spans="1:20" x14ac:dyDescent="0.2">
      <c r="A15" s="4">
        <v>13</v>
      </c>
      <c r="B15" s="39" t="str">
        <f>І3!C36</f>
        <v>Черкас Марія Василівна</v>
      </c>
      <c r="C15" s="59">
        <f>І3!AJ36</f>
        <v>8.1333333333333329</v>
      </c>
      <c r="D15" s="57" t="str">
        <f>І3!B36</f>
        <v>р</v>
      </c>
      <c r="E15" s="16"/>
      <c r="F15" s="39">
        <v>13</v>
      </c>
      <c r="G15" s="39" t="s">
        <v>56</v>
      </c>
      <c r="H15" s="59">
        <v>7.666666666666667</v>
      </c>
      <c r="I15" s="57" t="s">
        <v>52</v>
      </c>
      <c r="J15" s="1"/>
      <c r="K15" s="1"/>
    </row>
    <row r="16" spans="1:20" x14ac:dyDescent="0.2">
      <c r="A16" s="4">
        <v>14</v>
      </c>
      <c r="B16" s="39" t="str">
        <f>І3!C17</f>
        <v>Грибовська Злата Олексіївна</v>
      </c>
      <c r="C16" s="59">
        <f>І3!AJ17</f>
        <v>7.8</v>
      </c>
      <c r="D16" s="57" t="str">
        <f>І3!B17</f>
        <v>к</v>
      </c>
      <c r="E16" s="16"/>
      <c r="F16" s="8">
        <v>14</v>
      </c>
      <c r="G16" s="39" t="s">
        <v>63</v>
      </c>
      <c r="H16" s="59">
        <v>7.4666666666666668</v>
      </c>
      <c r="I16" s="57" t="s">
        <v>52</v>
      </c>
      <c r="J16" s="1"/>
      <c r="K16" s="1"/>
    </row>
    <row r="17" spans="1:11" x14ac:dyDescent="0.2">
      <c r="A17" s="4">
        <v>15</v>
      </c>
      <c r="B17" s="39" t="str">
        <f>І3!C29</f>
        <v>Потельніцька Софія Володимирівна</v>
      </c>
      <c r="C17" s="59">
        <f>І3!AJ29</f>
        <v>7.7333333333333334</v>
      </c>
      <c r="D17" s="57" t="str">
        <f>І3!B29</f>
        <v>к</v>
      </c>
      <c r="E17" s="16"/>
      <c r="F17" s="39">
        <v>15</v>
      </c>
      <c r="G17" s="39" t="s">
        <v>78</v>
      </c>
      <c r="H17" s="59">
        <v>7.4666666666666668</v>
      </c>
      <c r="I17" s="57" t="s">
        <v>52</v>
      </c>
      <c r="J17" s="1"/>
      <c r="K17" s="1"/>
    </row>
    <row r="18" spans="1:11" x14ac:dyDescent="0.2">
      <c r="A18" s="4">
        <v>16</v>
      </c>
      <c r="B18" s="39" t="str">
        <f>І3!C9</f>
        <v>Андріїшин Анастасія Олександрівна</v>
      </c>
      <c r="C18" s="59">
        <f>І3!AJ9</f>
        <v>7.666666666666667</v>
      </c>
      <c r="D18" s="57" t="str">
        <f>І3!B9</f>
        <v>р</v>
      </c>
      <c r="E18" s="16"/>
      <c r="F18" s="8">
        <v>16</v>
      </c>
      <c r="G18" s="39" t="s">
        <v>81</v>
      </c>
      <c r="H18" s="59">
        <v>7.4</v>
      </c>
      <c r="I18" s="57" t="s">
        <v>52</v>
      </c>
      <c r="J18" s="1"/>
      <c r="K18" s="1"/>
    </row>
    <row r="19" spans="1:11" x14ac:dyDescent="0.2">
      <c r="A19" s="4">
        <v>17</v>
      </c>
      <c r="B19" s="39" t="str">
        <f>І3!C16</f>
        <v>Гоцанюк Тамара Іванівна</v>
      </c>
      <c r="C19" s="59">
        <f>І3!AJ16</f>
        <v>7.4666666666666668</v>
      </c>
      <c r="D19" s="57" t="str">
        <f>І3!B16</f>
        <v>р</v>
      </c>
      <c r="E19" s="16"/>
      <c r="F19" s="39">
        <v>17</v>
      </c>
      <c r="G19" s="39" t="s">
        <v>79</v>
      </c>
      <c r="H19" s="59">
        <v>7.333333333333333</v>
      </c>
      <c r="I19" s="57" t="s">
        <v>52</v>
      </c>
      <c r="J19" s="1"/>
      <c r="K19" s="1"/>
    </row>
    <row r="20" spans="1:11" x14ac:dyDescent="0.2">
      <c r="A20" s="4">
        <v>18</v>
      </c>
      <c r="B20" s="39" t="str">
        <f>І3!C31</f>
        <v>Слостіна Юлія Олегівна</v>
      </c>
      <c r="C20" s="59">
        <f>І3!AJ31</f>
        <v>7.4666666666666668</v>
      </c>
      <c r="D20" s="57" t="str">
        <f>І3!B31</f>
        <v>р</v>
      </c>
      <c r="E20" s="16"/>
      <c r="F20" s="8">
        <v>18</v>
      </c>
      <c r="G20" s="39" t="s">
        <v>57</v>
      </c>
      <c r="H20" s="59">
        <v>7</v>
      </c>
      <c r="I20" s="57" t="s">
        <v>52</v>
      </c>
      <c r="J20" s="1"/>
      <c r="K20" s="1"/>
    </row>
    <row r="21" spans="1:11" x14ac:dyDescent="0.2">
      <c r="A21" s="4">
        <v>19</v>
      </c>
      <c r="B21" s="39" t="str">
        <f>І3!C34</f>
        <v>Федів Оксана Михайлівна</v>
      </c>
      <c r="C21" s="59">
        <f>І3!AJ34</f>
        <v>7.4</v>
      </c>
      <c r="D21" s="57" t="str">
        <f>І3!B34</f>
        <v>р</v>
      </c>
      <c r="E21" s="16"/>
      <c r="F21" s="39">
        <v>19</v>
      </c>
      <c r="G21" s="39" t="s">
        <v>69</v>
      </c>
      <c r="H21" s="59">
        <v>6.7333333333333334</v>
      </c>
      <c r="I21" s="57" t="s">
        <v>52</v>
      </c>
      <c r="J21" s="1"/>
      <c r="K21" s="1"/>
    </row>
    <row r="22" spans="1:11" x14ac:dyDescent="0.2">
      <c r="A22" s="4">
        <v>20</v>
      </c>
      <c r="B22" s="39" t="str">
        <f>І3!C32</f>
        <v>Сосніч Вероніка Андріївна</v>
      </c>
      <c r="C22" s="59">
        <f>І3!AJ32</f>
        <v>7.333333333333333</v>
      </c>
      <c r="D22" s="57" t="str">
        <f>І3!B32</f>
        <v>р</v>
      </c>
      <c r="E22" s="16"/>
      <c r="F22" s="8">
        <v>20</v>
      </c>
      <c r="G22" s="39" t="s">
        <v>58</v>
      </c>
      <c r="H22" s="59">
        <v>6.6428571428571432</v>
      </c>
      <c r="I22" s="57" t="s">
        <v>52</v>
      </c>
      <c r="J22" s="1"/>
      <c r="K22" s="1"/>
    </row>
    <row r="23" spans="1:11" x14ac:dyDescent="0.2">
      <c r="A23" s="4">
        <v>21</v>
      </c>
      <c r="B23" s="39" t="str">
        <f>І3!C24</f>
        <v xml:space="preserve">Макушина Вікторія Андріївна </v>
      </c>
      <c r="C23" s="59">
        <f>І3!AJ24</f>
        <v>7.0666666666666664</v>
      </c>
      <c r="D23" s="57" t="str">
        <f>І3!B24</f>
        <v>к</v>
      </c>
      <c r="E23" s="16"/>
      <c r="F23" s="39">
        <v>21</v>
      </c>
      <c r="G23" s="39" t="s">
        <v>60</v>
      </c>
      <c r="H23" s="59">
        <v>6.5333333333333332</v>
      </c>
      <c r="I23" s="57" t="s">
        <v>52</v>
      </c>
      <c r="J23" s="1"/>
      <c r="K23" s="1"/>
    </row>
    <row r="24" spans="1:11" x14ac:dyDescent="0.2">
      <c r="A24" s="4">
        <v>22</v>
      </c>
      <c r="B24" s="39" t="str">
        <f>І3!C10</f>
        <v xml:space="preserve">Бойко Ангеліна Євгенівна </v>
      </c>
      <c r="C24" s="59">
        <f>І3!AJ10</f>
        <v>7</v>
      </c>
      <c r="D24" s="57" t="str">
        <f>І3!B10</f>
        <v>р</v>
      </c>
      <c r="E24" s="16"/>
      <c r="F24" s="8">
        <v>22</v>
      </c>
      <c r="G24" s="39" t="s">
        <v>62</v>
      </c>
      <c r="H24" s="59">
        <v>6.4285714285714288</v>
      </c>
      <c r="I24" s="57" t="s">
        <v>52</v>
      </c>
      <c r="J24" s="1"/>
      <c r="K24" s="1"/>
    </row>
    <row r="25" spans="1:11" x14ac:dyDescent="0.2">
      <c r="A25" s="4">
        <v>23</v>
      </c>
      <c r="B25" s="39" t="str">
        <f>І3!C18</f>
        <v>Дасевич Анастасія Ігорівна</v>
      </c>
      <c r="C25" s="59">
        <f>І3!AJ18</f>
        <v>7</v>
      </c>
      <c r="D25" s="57" t="str">
        <f>І3!B18</f>
        <v>к</v>
      </c>
      <c r="E25" s="16"/>
      <c r="F25" s="39">
        <v>23</v>
      </c>
      <c r="G25" s="39" t="s">
        <v>66</v>
      </c>
      <c r="H25" s="59">
        <v>5.8571428571428568</v>
      </c>
      <c r="I25" s="57" t="s">
        <v>52</v>
      </c>
      <c r="J25" s="1"/>
      <c r="K25" s="1"/>
    </row>
    <row r="26" spans="1:11" x14ac:dyDescent="0.2">
      <c r="A26" s="4">
        <v>24</v>
      </c>
      <c r="B26" s="39" t="str">
        <f>І3!C22</f>
        <v>Козій Дарія Михайлівна</v>
      </c>
      <c r="C26" s="59">
        <f>І3!AJ22</f>
        <v>6.7333333333333334</v>
      </c>
      <c r="D26" s="57" t="str">
        <f>І3!B22</f>
        <v>р</v>
      </c>
      <c r="E26" s="16"/>
      <c r="F26" s="8">
        <v>24</v>
      </c>
      <c r="G26" s="1"/>
      <c r="H26" s="1"/>
      <c r="I26" s="1"/>
      <c r="J26" s="1"/>
      <c r="K26" s="1"/>
    </row>
    <row r="27" spans="1:11" ht="13.5" thickBot="1" x14ac:dyDescent="0.25">
      <c r="A27" s="4">
        <v>25</v>
      </c>
      <c r="B27" s="39" t="str">
        <f>І3!C11</f>
        <v>Борин Марія Василівна</v>
      </c>
      <c r="C27" s="59">
        <f>І3!AJ11</f>
        <v>6.6428571428571432</v>
      </c>
      <c r="D27" s="57" t="str">
        <f>І3!B11</f>
        <v>р</v>
      </c>
      <c r="E27" s="16"/>
      <c r="F27" s="46">
        <v>25</v>
      </c>
      <c r="G27" s="43"/>
      <c r="H27" s="43"/>
      <c r="I27" s="43"/>
      <c r="J27" s="43"/>
      <c r="K27" s="43"/>
    </row>
    <row r="28" spans="1:11" ht="13.5" thickBot="1" x14ac:dyDescent="0.25">
      <c r="A28" s="4">
        <v>26</v>
      </c>
      <c r="B28" s="39" t="str">
        <f>І3!C13</f>
        <v>Ганчак Іванна Михайлівна</v>
      </c>
      <c r="C28" s="59">
        <f>І3!AJ13</f>
        <v>6.5333333333333332</v>
      </c>
      <c r="D28" s="57" t="str">
        <f>І3!B13</f>
        <v>р</v>
      </c>
      <c r="E28" s="14"/>
      <c r="F28" s="47"/>
      <c r="G28" s="31"/>
      <c r="H28" s="45"/>
      <c r="I28" s="33"/>
      <c r="J28" s="33"/>
      <c r="K28" s="34"/>
    </row>
    <row r="29" spans="1:11" ht="13.5" thickBot="1" x14ac:dyDescent="0.25">
      <c r="A29" s="4">
        <v>27</v>
      </c>
      <c r="B29" s="39" t="str">
        <f>І3!C15</f>
        <v>Голинська Марія Романівна</v>
      </c>
      <c r="C29" s="59">
        <f>І3!AJ15</f>
        <v>6.4285714285714288</v>
      </c>
      <c r="D29" s="57" t="str">
        <f>І3!B15</f>
        <v>р</v>
      </c>
      <c r="E29" s="14"/>
      <c r="F29" s="39"/>
      <c r="G29" s="58" t="s">
        <v>12</v>
      </c>
      <c r="H29" s="50" t="s">
        <v>5</v>
      </c>
      <c r="I29" s="36" t="s">
        <v>7</v>
      </c>
      <c r="J29" s="42"/>
      <c r="K29" s="42"/>
    </row>
    <row r="30" spans="1:11" x14ac:dyDescent="0.2">
      <c r="A30" s="4">
        <v>28</v>
      </c>
      <c r="B30" s="39" t="str">
        <f>І3!C23</f>
        <v xml:space="preserve">Кузьмик Ромена Юріївна </v>
      </c>
      <c r="C30" s="59">
        <f>І3!AJ23</f>
        <v>6.0714285714285712</v>
      </c>
      <c r="D30" s="57" t="str">
        <f>І3!B23</f>
        <v>к</v>
      </c>
      <c r="E30" s="14"/>
      <c r="F30" s="8">
        <v>1</v>
      </c>
      <c r="G30" s="39" t="s">
        <v>77</v>
      </c>
      <c r="H30" s="59">
        <v>8.1999999999999993</v>
      </c>
      <c r="I30" s="57" t="s">
        <v>50</v>
      </c>
      <c r="J30" s="1"/>
      <c r="K30" s="1"/>
    </row>
    <row r="31" spans="1:11" x14ac:dyDescent="0.2">
      <c r="A31" s="4">
        <v>29</v>
      </c>
      <c r="B31" s="39" t="str">
        <f>І3!C19</f>
        <v>Дичек Вероніка-Марія Зіновіївна</v>
      </c>
      <c r="C31" s="59">
        <f>І3!AJ19</f>
        <v>5.8571428571428568</v>
      </c>
      <c r="D31" s="57" t="str">
        <f>І3!B19</f>
        <v>р</v>
      </c>
      <c r="E31" s="14"/>
      <c r="F31" s="39">
        <v>2</v>
      </c>
      <c r="G31" s="39" t="s">
        <v>64</v>
      </c>
      <c r="H31" s="59">
        <v>7.8</v>
      </c>
      <c r="I31" s="57" t="s">
        <v>50</v>
      </c>
      <c r="J31" s="1"/>
      <c r="K31" s="1"/>
    </row>
    <row r="32" spans="1:11" x14ac:dyDescent="0.2">
      <c r="A32" s="4">
        <v>30</v>
      </c>
      <c r="B32" s="39" t="str">
        <f>І3!C20</f>
        <v>Кавулич Кароліна Йосипівна</v>
      </c>
      <c r="C32" s="59">
        <f>І3!AJ20</f>
        <v>4.9333333333333336</v>
      </c>
      <c r="D32" s="57" t="str">
        <f>І3!B20</f>
        <v>к</v>
      </c>
      <c r="E32" s="14"/>
      <c r="F32" s="8">
        <v>3</v>
      </c>
      <c r="G32" s="39" t="s">
        <v>76</v>
      </c>
      <c r="H32" s="59">
        <v>7.7333333333333334</v>
      </c>
      <c r="I32" s="57" t="s">
        <v>50</v>
      </c>
      <c r="J32" s="1"/>
      <c r="K32" s="1"/>
    </row>
    <row r="33" spans="1:11" x14ac:dyDescent="0.2">
      <c r="A33" s="4"/>
      <c r="B33" s="39"/>
      <c r="C33" s="40"/>
      <c r="D33" s="57"/>
      <c r="E33" s="14"/>
      <c r="F33" s="39">
        <v>4</v>
      </c>
      <c r="G33" s="39" t="s">
        <v>71</v>
      </c>
      <c r="H33" s="59">
        <v>7.0666666666666664</v>
      </c>
      <c r="I33" s="57" t="s">
        <v>50</v>
      </c>
      <c r="J33" s="1"/>
      <c r="K33" s="1"/>
    </row>
    <row r="34" spans="1:11" x14ac:dyDescent="0.2">
      <c r="A34" s="4"/>
      <c r="B34" s="39"/>
      <c r="C34" s="40"/>
      <c r="D34" s="57"/>
      <c r="E34" s="14"/>
      <c r="F34" s="8">
        <v>5</v>
      </c>
      <c r="G34" s="39" t="s">
        <v>65</v>
      </c>
      <c r="H34" s="59">
        <v>7</v>
      </c>
      <c r="I34" s="57" t="s">
        <v>50</v>
      </c>
      <c r="J34" s="1"/>
      <c r="K34" s="1"/>
    </row>
    <row r="35" spans="1:11" x14ac:dyDescent="0.2">
      <c r="A35" s="4"/>
      <c r="B35" s="39"/>
      <c r="C35" s="40"/>
      <c r="D35" s="57"/>
      <c r="E35" s="14"/>
      <c r="F35" s="39">
        <v>6</v>
      </c>
      <c r="G35" s="39" t="s">
        <v>70</v>
      </c>
      <c r="H35" s="59">
        <v>6.0714285714285712</v>
      </c>
      <c r="I35" s="57" t="s">
        <v>50</v>
      </c>
      <c r="J35" s="1"/>
      <c r="K35" s="1"/>
    </row>
    <row r="36" spans="1:11" x14ac:dyDescent="0.2">
      <c r="A36" s="4"/>
      <c r="B36" s="39"/>
      <c r="C36" s="40"/>
      <c r="D36" s="57"/>
      <c r="E36" s="14"/>
      <c r="F36" s="8">
        <v>7</v>
      </c>
      <c r="G36" s="39" t="s">
        <v>67</v>
      </c>
      <c r="H36" s="59">
        <v>4.9333333333333336</v>
      </c>
      <c r="I36" s="57" t="s">
        <v>50</v>
      </c>
      <c r="J36" s="1"/>
      <c r="K36" s="1"/>
    </row>
    <row r="37" spans="1:11" x14ac:dyDescent="0.2">
      <c r="A37" s="4"/>
      <c r="B37" s="39"/>
      <c r="C37" s="40"/>
      <c r="D37" s="57"/>
      <c r="E37" s="14"/>
      <c r="F37" s="39">
        <v>8</v>
      </c>
      <c r="G37" s="1"/>
      <c r="H37" s="1"/>
      <c r="I37" s="1"/>
      <c r="J37" s="1"/>
      <c r="K37" s="1"/>
    </row>
  </sheetData>
  <sortState ref="B3:D33">
    <sortCondition descending="1" ref="C3:C33"/>
  </sortState>
  <pageMargins left="0.7" right="0.7" top="0.75" bottom="0.75" header="0.3" footer="0.3"/>
  <pageSetup paperSize="9" scale="91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ейтинг">
                <anchor moveWithCells="1" sizeWithCells="1">
                  <from>
                    <xdr:col>11</xdr:col>
                    <xdr:colOff>447675</xdr:colOff>
                    <xdr:row>5</xdr:row>
                    <xdr:rowOff>142875</xdr:rowOff>
                  </from>
                  <to>
                    <xdr:col>13</xdr:col>
                    <xdr:colOff>371475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jynhfrn">
                <anchor moveWithCells="1" sizeWithCells="1">
                  <from>
                    <xdr:col>11</xdr:col>
                    <xdr:colOff>428625</xdr:colOff>
                    <xdr:row>9</xdr:row>
                    <xdr:rowOff>123825</xdr:rowOff>
                  </from>
                  <to>
                    <xdr:col>13</xdr:col>
                    <xdr:colOff>381000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держ">
                <anchor moveWithCells="1" sizeWithCells="1">
                  <from>
                    <xdr:col>11</xdr:col>
                    <xdr:colOff>428625</xdr:colOff>
                    <xdr:row>13</xdr:row>
                    <xdr:rowOff>9525</xdr:rowOff>
                  </from>
                  <to>
                    <xdr:col>13</xdr:col>
                    <xdr:colOff>381000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Аркуші</vt:lpstr>
      </vt:variant>
      <vt:variant>
        <vt:i4>2</vt:i4>
      </vt:variant>
      <vt:variant>
        <vt:lpstr>Іменовані діапазони</vt:lpstr>
      </vt:variant>
      <vt:variant>
        <vt:i4>4</vt:i4>
      </vt:variant>
    </vt:vector>
  </HeadingPairs>
  <TitlesOfParts>
    <vt:vector size="6" baseType="lpstr">
      <vt:lpstr>І3</vt:lpstr>
      <vt:lpstr>Лист1</vt:lpstr>
      <vt:lpstr>Лист1!Витягнути</vt:lpstr>
      <vt:lpstr>І3!Область_друку</vt:lpstr>
      <vt:lpstr>Лист1!Область_друку</vt:lpstr>
      <vt:lpstr>Лист1!Умови</vt:lpstr>
    </vt:vector>
  </TitlesOfParts>
  <Company>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Ticha</dc:creator>
  <cp:lastModifiedBy>laborant</cp:lastModifiedBy>
  <cp:lastPrinted>2023-06-28T11:35:40Z</cp:lastPrinted>
  <dcterms:created xsi:type="dcterms:W3CDTF">2009-06-18T06:42:55Z</dcterms:created>
  <dcterms:modified xsi:type="dcterms:W3CDTF">2023-06-28T12:11:14Z</dcterms:modified>
</cp:coreProperties>
</file>